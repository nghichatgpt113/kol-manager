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Văn mẫu" sheetId="2" r:id="rId5"/>
    <sheet name="WKF" sheetId="3" r:id="rId6"/>
    <sheet name="Link air video" sheetId="4" r:id="rId7"/>
    <sheet name="data"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<sst xmlns="http://schemas.openxmlformats.org/spreadsheetml/2006/main" count="640" uniqueCount="640">
  <si>
    <t xml:space="preserve">  </t>
  </si>
  <si>
    <t/>
    <r>
      <rPr/>
      <t xml:space="preserve">Lời mời hợp tác:
</t>
    </r>
    <r>
      <rPr/>
      <t xml:space="preserve">Dạ em chào kênh. Em là Nguyên Anh – Booking Brand Chesy 
</t>
    </r>
    <r>
      <rPr/>
      <t xml:space="preserve">Bên em thấy kênh mình có nội dung rất phù hợp với sản phẩm và có tiềm năng phát triển tốt, nên mong muốn được hợp tác cùng kênh trong chiến dịch lần này ạ 💖
</t>
    </r>
    <r>
      <rPr/>
      <t xml:space="preserve">Thông tin sản phẩm:
</t>
    </r>
    <r>
      <rPr/>
      <t xml:space="preserve">🌷Combo Gội Xả CHESY Collagen 1000ml
</t>
    </r>
    <r>
      <rPr/>
      <t xml:space="preserve">🌷Link sản phẩm: </t>
    </r>
    <r>
      <rPr>
        <u val="single"/>
        <color theme="10"/>
      </rPr>
      <t>https://shop.tiktok.com/view/product/1735655317619771361?region=VN&amp;locale=vi-VN&amp;source=seller_creator_im&amp;shop_region=VN&amp;shop_id=7496242113276513249</t>
    </r>
    <r>
      <rPr/>
      <t xml:space="preserve">
</t>
    </r>
    <r>
      <rPr/>
      <t xml:space="preserve">🌷 Hoa hồng 12% + Ads 7% 
</t>
    </r>
    <r>
      <rPr/>
      <t xml:space="preserve">Rất mong có cơ hội được đồng hành cùng kênh</t>
    </r>
  </si>
  <si>
    <t/>
    <r>
      <rPr/>
      <t xml:space="preserve">LỜI MỜI HỢP TÁC
</t>
    </r>
    <r>
      <rPr/>
      <t xml:space="preserve">🌷 CHESY Collagen – Combo Gội Xả 1000ml
</t>
    </r>
    <r>
      <rPr/>
      <t xml:space="preserve"> 💰 Hoa hồng 12% + Ads 7% 🔥
</t>
    </r>
    <r>
      <rPr/>
      <t xml:space="preserve"> 🚀 Brand đang đẩy Ads mạnh, hỗ trợ content KOC tiếp cận tốt hơn
</t>
    </r>
    <r>
      <rPr/>
      <t xml:space="preserve"> 🔗 Link sản phẩm: </t>
    </r>
    <r>
      <rPr>
        <u val="single"/>
        <color theme="10"/>
      </rPr>
      <t>https://shop.tiktok.com/view/product/1735655317619771361?region=VN&amp;locale=vi-VN&amp;source=seller_creator_im&amp;shop_region=VN&amp;shop_id=7496242113276513249</t>
    </r>
    <r>
      <rPr/>
      <t xml:space="preserve">
</t>
    </r>
    <r>
      <rPr/>
      <t xml:space="preserve">Dạ em chào kênh ạ 🥰 Em là Nguyên Anh – Booking Brand CHESY.
</t>
    </r>
    <r>
      <rPr/>
      <t xml:space="preserve">Em có xem qua content của kênh và thấy rất phù hợp với sản phẩm bên em, nên muốn mời kênh đồng hành cùng CHESY trong campaign lần này ạ 💕
</t>
    </r>
    <r>
      <rPr/>
      <t xml:space="preserve">Nếu kênh quan tâm, em gửi brief + thông tin hợp tác mình tham khảo nhaaa 🫶🏻</t>
    </r>
  </si>
  <si>
    <t xml:space="preserve">Hình thức hợp tác
Quyền lợi: hoa hồng 12% - ads 7% + Mẫu miễn phí bao gồm combo gội 300ml, xả 250ml
Hình thức: freecast video có gắn giỏ hàng + code ads 365 ngày
Yêu cầu nho nhỏ bên em là air video từ 5-7 ngày kể từ khi nhận được hàng.</t>
  </si>
  <si>
    <t xml:space="preserve">Dạ em note chị iu một chút nha 🥰
🔗 Link Affiliate: combo gội + xả 1000ml
📦 Mẫu gửi trải nghiệm: combo gội 300ml + xả 250ml, nhưng bên em vẫn đóng trong chai form 1000ml nha KOC. Chỉ khác nhau ở dung tích sản phẩm bên trong thôi ạ.</t>
  </si>
  <si>
    <t xml:space="preserve">Em xin phép confirm lại thông tin đã trao đổi như sau:
- Sản phẩm hợp tác: Combo gội xả CHESY Collagen 1000ml
- Nhận mẫu: Combo Gội 300ml Xả 250ml CHESY 
- Chi tiết hợp tác: Free cast video gắn giỏ hàng + Hoa hồng affiliate 12% - ads 7% + code ads 365 ngày 
Timeline air video: 27/04</t>
  </si>
  <si>
    <t/>
    <r>
      <rPr/>
      <t xml:space="preserve">Link top 5 video đang ra đơn, chị tham khảo qua lấy content nhé
</t>
    </r>
    <r>
      <rPr/>
      <t xml:space="preserve">1. </t>
    </r>
    <r>
      <rPr>
        <u val="single"/>
        <color theme="10"/>
      </rPr>
      <t>https://www.tiktok.com/@ngahugo238/video/7661530874072124690?shop_id=7496242113276513249&amp;shop_region=VN</t>
    </r>
    <r>
      <rPr/>
      <t xml:space="preserve">
</t>
    </r>
    <r>
      <rPr/>
      <t xml:space="preserve">2. </t>
    </r>
    <r>
      <rPr>
        <u val="single"/>
        <color theme="10"/>
      </rPr>
      <t>https://www.tiktok.com/@inh.qunh.nh02/video/7652352394809969940?shop_region=VN&amp;shop_id=7496242113276513249</t>
    </r>
    <r>
      <rPr/>
      <t xml:space="preserve">
</t>
    </r>
    <r>
      <rPr/>
      <t xml:space="preserve">3. </t>
    </r>
    <r>
      <rPr>
        <u val="single"/>
        <color theme="10"/>
      </rPr>
      <t>https://www.tiktok.com/@emthodaily/video/7647830749915172103?shop_region=VN&amp;shop_id=7496242113276513249</t>
    </r>
    <r>
      <rPr/>
      <t xml:space="preserve">
</t>
    </r>
    <r>
      <rPr/>
      <t xml:space="preserve">4. </t>
    </r>
    <r>
      <rPr>
        <u val="single"/>
        <color theme="10"/>
      </rPr>
      <t>https://www.tiktok.com/@em_lien2203/video/7655304393390116104?shop_region=VN&amp;shop_id=7496242113276513249</t>
    </r>
    <r>
      <rPr/>
      <t xml:space="preserve">
</t>
    </r>
    <r>
      <rPr/>
      <t xml:space="preserve">5. </t>
    </r>
    <r>
      <rPr>
        <u val="single"/>
        <color theme="10"/>
      </rPr>
      <t>https://www.tiktok.com/@yeubanthancungngoc/video/7654951420189429013?shop_region=VN&amp;shop_id=7496242113276513249</t>
    </r>
  </si>
  <si>
    <t/>
    <r>
      <rPr/>
      <t xml:space="preserve">Em gửi lại brief chi tiết sản phẩm, chị tham khảo qua để làm video đúng định hướng brand từ đó tăng độ tiếp cận và ra đơn nhé ạ
</t>
    </r>
    <r>
      <rPr/>
      <t>👉</t>
    </r>
    <r>
      <rPr>
        <u val="single"/>
        <color theme="10"/>
      </rPr>
      <t xml:space="preserve">CHESY [BRIEF BOOKING CREATOR AFFILIATE] </t>
    </r>
    <r>
      <rPr/>
      <t xml:space="preserve"> </t>
    </r>
  </si>
  <si>
    <t xml:space="preserve">Dạ em note KOC một chút nha 🥰
🔗 Link Affiliate: combo gội + xả 1000ml
📦 Mẫu gửi trải nghiệm: combo gội + xả 250ml, nhưng bên em vẫn đóng trong chai form 1000ml nha KOC. Chỉ khác nhau ở dung tích sản phẩm bên trong thôi ạ.</t>
  </si>
  <si>
    <t xml:space="preserve">Em có gửi cộng tác mục tiêu trên tiktok, chị check giúp em để lấy link sản phẩm gắn vào video nhée</t>
  </si>
  <si>
    <t xml:space="preserve">Dạ tối thiểu 1 video là được chị nha 🥰
Mà do sản phẩm bên em mới mở bán nên brand đang đẩy mạnh giai đoạn đầu á chị, bên em cũng đang đổ Ads khá nhiều để kéo traffic cho KOC luôn 🫶🏻
Nên nếu chị có thời gian, chị hỗ trợ em 2–3 video thì càng tốt ạaa 🥹 Vừa giúp sản phẩm có thêm độ tiếp cận, vừa có nhiều content để bên em test và đẩy Ads, dễ lên tương tác và đơn hơn nữa nè 💕
Chị cứ làm theo style của kênh mình, tự nhiên và nói đúng key point trong brief là được nha 🥰</t>
  </si>
  <si>
    <t xml:space="preserve">Dạ em hiểu cảm giác của chị ạ 🥹 Do brand mới mở bán nên đang triển khai số lượng KOC khá nhiều, nên bên em đang support dung tích 250ml để KOC có đủ sản phẩm trải nghiệm trước á chị 🫶🏻
Bù lại thì deal bên em khá tốt nè chị: hoa hồng 12% + Ads 7%, brand cũng đang đẩy Ads mạnh để hỗ trợ content của KOC có thêm độ tiếp cận và ra đơn tốt hơn ạ 🥰
Nếu đợt này mình hợp tác hiệu quả, em sẽ ưu tiên xin brand gửi chị mẫu fullsize ở đợt sau luôn nhaaa 💕 Em cũng mong muốn đồng hành với chị lâu dài chứ không chỉ chạy 1 campaign thôi ạ 🥹</t>
  </si>
  <si>
    <t xml:space="preserve">Cám ơn chị iu nhé, hy vọng cộng tác thuận lợi 
Chúc chị buổi sáng năng lượng ạa</t>
  </si>
  <si>
    <t/>
    <r>
      <rPr/>
      <t xml:space="preserve">Lời mời hợp tác:
</t>
    </r>
    <r>
      <rPr/>
      <t xml:space="preserve">Dạ em chào kênh. Em là Nguyên Anh – Booking Brand Chesy 
</t>
    </r>
    <r>
      <rPr/>
      <t xml:space="preserve">Bên em thấy kênh mình có nội dung rất phù hợp với sản phẩm và có tiềm năng phát triển tốt, nên mong muốn được hợp tác cùng kênh trong chiến dịch lần này ạ 💖
</t>
    </r>
    <r>
      <rPr/>
      <t xml:space="preserve">Thông tin sản phẩm:
</t>
    </r>
    <r>
      <rPr/>
      <t xml:space="preserve">🌷Sữa tắm hương nước hoa 1000ml
</t>
    </r>
    <r>
      <rPr/>
      <t xml:space="preserve">🌷Link sản phẩm: </t>
    </r>
    <r>
      <rPr>
        <u val="single"/>
        <color theme="10"/>
      </rPr>
      <t>https://shop.tiktok.com/view/product/1736755929756043233?region=VN&amp;locale=vi-VN&amp;source=seller_creator_im&amp;shop_region=VN&amp;shop_id=7496242113276513249</t>
    </r>
    <r>
      <rPr/>
      <t xml:space="preserve">
</t>
    </r>
    <r>
      <rPr/>
      <t xml:space="preserve">🌷 Hoa hồng 13% + Ads 7% 
</t>
    </r>
    <r>
      <rPr/>
      <t xml:space="preserve">Rất mong có cơ hội được đồng hành cùng kênh</t>
    </r>
  </si>
  <si>
    <t xml:space="preserve">-</t>
  </si>
  <si>
    <t xml:space="preserve">Hình thức hợp tác
Quyền lợi: hoa hồng 13% - ads 7% + Mẫu miễn phí Sữa Tắm Hương Nước Hoa 300ml
Hình thức: freecast video có gắn giỏ hàng + code ads 365 ngày
Yêu cầu nho nhỏ bên em là air video từ 5-7 ngày kể từ khi nhận được hàng.</t>
  </si>
  <si>
    <t xml:space="preserve">Dạ em note chị iu một chút nha 🥰
🔗 Link Affiliate: Sữa tắm hương nước hoa 1000ml
📦 Mẫu gửi trải nghiệm: Sữa tắm hương nước hoa 300ml, nhưng bên em vẫn đóng trong chai form 1000ml nha KOC. Chỉ khác nhau ở dung tích sản phẩm bên trong thôi ạ.</t>
  </si>
  <si>
    <t xml:space="preserve">Em xin phép confirm lại thông tin đã trao đổi như sau:
- Sản phẩm hợp tác: Sữa Tắm Chesy Hương Nước Hoa 1000ml
- Nhận mẫu: Sữa Tắm Chesy Hương Nước Hoa 300ml
- Chi tiết hợp tác: Free cast video gắn giỏ hàng + Hoa hồng affiliate 13% - ads 7% + code ads 365 ngày 
Timeline air video: 27/04</t>
  </si>
  <si>
    <t/>
    <r>
      <rPr/>
      <t xml:space="preserve">Em gửi lại brief chi tiết sản phẩm, chị tham khảo qua để làm video đúng định hướng brand từ đó tăng độ tiếp cận và ra đơn nhé ạ
</t>
    </r>
    <r>
      <rPr/>
      <t>👉</t>
    </r>
    <r>
      <rPr>
        <u val="single"/>
        <color theme="10"/>
      </rPr>
      <t xml:space="preserve">[Brief] Sữa tắm Chesy x Creator</t>
    </r>
    <r>
      <rPr/>
      <t xml:space="preserve"> </t>
    </r>
  </si>
  <si>
    <t xml:space="preserve">STT</t>
  </si>
  <si>
    <t xml:space="preserve">Tháng</t>
  </si>
  <si>
    <t xml:space="preserve">
Thời gian gửi sample</t>
  </si>
  <si>
    <t xml:space="preserve">username KOL</t>
  </si>
  <si>
    <t xml:space="preserve">Link kênh</t>
  </si>
  <si>
    <t xml:space="preserve">
Booking fee</t>
  </si>
  <si>
    <t xml:space="preserve">
CMS</t>
  </si>
  <si>
    <t xml:space="preserve">Content Type</t>
  </si>
  <si>
    <t xml:space="preserve">
Sản phẩm hợp tác</t>
  </si>
  <si>
    <t xml:space="preserve">
Ngày dự kiến nhận hàng mẫu</t>
  </si>
  <si>
    <t xml:space="preserve">Thời gian  nhắc video</t>
  </si>
  <si>
    <t xml:space="preserve">
Thời gian đăng</t>
  </si>
  <si>
    <t xml:space="preserve">Tiến độ hợp tác koc</t>
  </si>
  <si>
    <t xml:space="preserve">Link air</t>
  </si>
  <si>
    <t xml:space="preserve">Code Ads</t>
  </si>
  <si>
    <t xml:space="preserve">Note</t>
  </si>
  <si>
    <t xml:space="preserve">Tháng 8</t>
  </si>
  <si>
    <t xml:space="preserve">shopbinbo1201</t>
  </si>
  <si>
    <t xml:space="preserve">12% - ads 7%</t>
  </si>
  <si>
    <t xml:space="preserve">Video</t>
  </si>
  <si>
    <t xml:space="preserve">Combo Gội Xả </t>
  </si>
  <si>
    <t xml:space="preserve">Đã lên video</t>
  </si>
  <si>
    <t xml:space="preserve">0354463586 16/29/15/5 đường số 16 phường Bình Hưng Hòa quận Bình Tân</t>
  </si>
  <si>
    <t xml:space="preserve">yphuong.m52</t>
  </si>
  <si>
    <t xml:space="preserve">833357903 Nhà thuốc y phương 311/3a nguyễn văn cừ cái khế cần thơ</t>
  </si>
  <si>
    <t xml:space="preserve">_mekhanhhuyen1508_</t>
  </si>
  <si>
    <t xml:space="preserve">Sđt 0366911176 Đchi: khu 11 Hiền Lương, Phú Thọ</t>
  </si>
  <si>
    <t xml:space="preserve">chanhchanhriziu</t>
  </si>
  <si>
    <t xml:space="preserve">Sdt 0868074241: cư xá xây lấp- hẻm 421- đường Đồng Khởi, phường Tam Hiệp- Đồng Nai</t>
  </si>
  <si>
    <t xml:space="preserve">phanh.lee_2001</t>
  </si>
  <si>
    <t xml:space="preserve">Lê Phương Anh 0984503581 Sảnh văn phòng tòa N01-T1- ngoại giao đoàn- phường xuân đỉnh - Bắc Từ liêm- Hà Nội </t>
  </si>
  <si>
    <t xml:space="preserve">tiem_cua_huong84</t>
  </si>
  <si>
    <t xml:space="preserve">Đã gửi hàng</t>
  </si>
  <si>
    <t xml:space="preserve">Mai Hương - 0342511787 Địa chỉ :  trọ số 37 .Tổ dân phố Dục Quang, TT.Bích Động,Việt Yên, Bắc Giang .</t>
  </si>
  <si>
    <t xml:space="preserve">thuy.miu65</t>
  </si>
  <si>
    <t xml:space="preserve">Lệ Thủy 0972144615 Hẻm hớt tóc Trinh ấp 5 An Viễn Đồng Nai</t>
  </si>
  <si>
    <t xml:space="preserve">nguyentien270895</t>
  </si>
  <si>
    <t xml:space="preserve">Nguyễn Tiên 0368083418 Ấp Tân đông Tân Phú châu thành bến tre</t>
  </si>
  <si>
    <t xml:space="preserve">em.b.la.cung.thin</t>
  </si>
  <si>
    <t xml:space="preserve">Thuỳ linh : 0369408394 38 cây keo , tam phú , thủ đức .Chung cư đạt gia lốc A3 ( đc trước sáp nhập ) </t>
  </si>
  <si>
    <t xml:space="preserve">me.em.dau.ne2407</t>
  </si>
  <si>
    <t xml:space="preserve">Hải Yến 0963690783 Số nhà 16, ngách 17/2, ngõ 17, Phú Kiều, Phúc Diễn, Bắc Từ Liêm, Hà nội</t>
  </si>
  <si>
    <t xml:space="preserve">nhatombexiu</t>
  </si>
  <si>
    <t xml:space="preserve">Quí Đường 0774448748  92/4a võ tánh cái răng cần thơ</t>
  </si>
  <si>
    <t xml:space="preserve">loanthichriviu93</t>
  </si>
  <si>
    <t xml:space="preserve">Loan 0979449496 82/2 e đường 138 phương tăng nhơn phú Tphcm </t>
  </si>
  <si>
    <t xml:space="preserve">bappp2k</t>
  </si>
  <si>
    <t xml:space="preserve">Thảo Bắp  Ấp2, Xã Vị Đông, Huyện Vị Thuỷ, Tỉnh Hậu Giang, 0795070180</t>
  </si>
  <si>
    <t xml:space="preserve">1999linhha24</t>
  </si>
  <si>
    <t xml:space="preserve">Bé Linh Gần bến phà tân châu, Phường long sơn thị xã Tân Châu tỉnh An Giang sdt 0329 333 176</t>
  </si>
  <si>
    <t xml:space="preserve">0_t.l</t>
  </si>
  <si>
    <t xml:space="preserve">Trúc linh- 0962915122 Ấp lam điền, Long điền Tây, đông Hải, bạc liêu</t>
  </si>
  <si>
    <t xml:space="preserve">phucan_riviu</t>
  </si>
  <si>
    <t xml:space="preserve">Thùy An Địa chỉ cũ: Tổ 2 ấp Mỹ Hưng, xã Mỹ Phong, Tp.Mỹ Tho, tỉnh Tiền Giang 0397361370</t>
  </si>
  <si>
    <t xml:space="preserve">hhhoa89</t>
  </si>
  <si>
    <t xml:space="preserve">Thảo Hòa DC: 15xóm Vực, Song Ngoã, Liên Minh, Hà Nội  Sđt: 0328581737</t>
  </si>
  <si>
    <t xml:space="preserve">oanhoanh.30</t>
  </si>
  <si>
    <t xml:space="preserve">Chị Oanh 0903522281 Kế tiệm tóc Lực, mương bố ngã cại xã Tân thới huyện Phong Điền thành phố cần Thơ</t>
  </si>
  <si>
    <t xml:space="preserve">tieuziri.254</t>
  </si>
  <si>
    <t xml:space="preserve">Mỹ Nữ 0986727647 Địa chỉ: Quán lẫu cua đồng (ngã tư Etoh)- Xã Eatoh - KRông Năng - Đắk Lắk</t>
  </si>
  <si>
    <t xml:space="preserve">_angthux_</t>
  </si>
  <si>
    <t xml:space="preserve">Chị Thư  LH: 0358871856  160/9/2 Đặng Thuỳ Trâm p13 quận Bình Thạnh, TP.HCM</t>
  </si>
  <si>
    <t xml:space="preserve">minie2124</t>
  </si>
  <si>
    <t xml:space="preserve">Ngọc Bích - 0935.467.885 Đ/c: Lk11-4, đường D11N8, Tái Định Cư Long Đức, Khu 13, Xã Bình An, Tỉnh Đồng Nai</t>
  </si>
  <si>
    <t xml:space="preserve">peachypick_</t>
  </si>
  <si>
    <t xml:space="preserve">Minh Anh 194 Phú Thái, Phan Đình Phùng, Thái Nguyên sđt: 0326508763</t>
  </si>
  <si>
    <t xml:space="preserve">me.be.gao.review.2405</t>
  </si>
  <si>
    <t xml:space="preserve">Trà My Địa chỉ: 205, Nguyễn Huệ, Khóm 2, Sa Rài, Tân Hồng, Đồng Tháp Sđt: 0901009129</t>
  </si>
  <si>
    <t xml:space="preserve">ngocanh5699_</t>
  </si>
  <si>
    <t xml:space="preserve">Ngọc Anh 0374072729 Số nhà 25 đồi cốc thanh xuân sóc sơn HN</t>
  </si>
  <si>
    <t xml:space="preserve">minmacarong</t>
  </si>
  <si>
    <t xml:space="preserve">Chị Vân 38 đường số 1 phường 16 quận 8 0774007808</t>
  </si>
  <si>
    <t xml:space="preserve">minhthupq</t>
  </si>
  <si>
    <t xml:space="preserve">Minh Thư Sdt 0388639415 Ấp gành dầu xả gành dầu huyện Phú Quốc tỉnh kiên Giang</t>
  </si>
  <si>
    <t xml:space="preserve">conlarioday.2412</t>
  </si>
  <si>
    <t xml:space="preserve">Mẹ rio 0702782431 . 21/30/686 kim giang- thanh liệt- thanh trì - hà nội ạ</t>
  </si>
  <si>
    <t xml:space="preserve">vihashop</t>
  </si>
  <si>
    <t xml:space="preserve">Hà Vi 0969508671 Số 12 đường số 6 ,khu công nghiệp song thân 1 .di an.binh duong</t>
  </si>
  <si>
    <t xml:space="preserve">dungsmall5</t>
  </si>
  <si>
    <t xml:space="preserve">Dung Small 0813839583 Vệ An xã Cao Dương tỉnh Phú thọ</t>
  </si>
  <si>
    <t xml:space="preserve">hien.daily9</t>
  </si>
  <si>
    <t xml:space="preserve">Chị Hiền địa chỉ : đường 14 xã trừ văn thố tphcm sdt: 0792647769</t>
  </si>
  <si>
    <t xml:space="preserve">vangiadung19</t>
  </si>
  <si>
    <t xml:space="preserve">quỳnh quỳnh 0356310380 B33, đường N1 , khu nhà ở  UI , An Phú, An Phú, HCM ( Bình Dương Cũ)</t>
  </si>
  <si>
    <t xml:space="preserve">choangzapel</t>
  </si>
  <si>
    <t xml:space="preserve">Trang - 0328926915 - Số nhà 38A, ngõ 239, Trâu Quỳ, Gia Lâm, Hà Nội</t>
  </si>
  <si>
    <t xml:space="preserve">ntnx.23104</t>
  </si>
  <si>
    <t xml:space="preserve">- Tên người nhận: Thanh Phạm SĐT: 097 6882861
- Địa chỉ: (Trước sáp nhập): Số 424 đường Bà Triệu, phường Đông Thọ, TP. Thanh Hoá, tỉnh Thanh Hoá
(sau sáp nhập): Số 424 đường Bà Triệu, phường Hạc Thành, tỉnh Thanh Hoá</t>
  </si>
  <si>
    <t xml:space="preserve">uyenkhanhsandeal1</t>
  </si>
  <si>
    <t xml:space="preserve">Uyên Khanh 0855535797 566a/1 cao văn lầu phường nhà mát bạc liêu</t>
  </si>
  <si>
    <t xml:space="preserve">lucafamilyreview</t>
  </si>
  <si>
    <t xml:space="preserve">Yến Hào Địa chỉ: 27a/ D2 Mê Linh, Phường 9(Lâm Viên) Đà Lạt, Lâm Đồng  Sdt : 0363143772</t>
  </si>
  <si>
    <t xml:space="preserve">tho.review83</t>
  </si>
  <si>
    <t xml:space="preserve">Ngọc Tho 0708275630 82/2e đường 138 phương tăng nhơn phú tp hồ chí minh</t>
  </si>
  <si>
    <t xml:space="preserve">iam.quachanh_</t>
  </si>
  <si>
    <t xml:space="preserve">Tố Quyên - 0705621903 - 29/19/4 đường Tam Châu, phường Tam Phú, TP Thủ Đức, TP HCM </t>
  </si>
  <si>
    <t xml:space="preserve">t.hinou26</t>
  </si>
  <si>
    <t xml:space="preserve">Hiền 0379733635 Quán Tóc Hồng Dịu, Phú Vinh, Minh Tân, Vụ Bản, Nam Định </t>
  </si>
  <si>
    <t xml:space="preserve">quynhcool678</t>
  </si>
  <si>
    <t xml:space="preserve">Tên người nhận: Mai Địa chỉ: sảnh winmart chung cư udic , ngõ 122 vĩnh tuy, phường vĩnh tuy, hai bà trưng, hà nội SĐT 0357986767</t>
  </si>
  <si>
    <t xml:space="preserve">lienmatto        </t>
  </si>
  <si>
    <t xml:space="preserve">275 nguyễn trãi thanh xuân hn 0922303888  liên</t>
  </si>
  <si>
    <t xml:space="preserve">yen68.68        </t>
  </si>
  <si>
    <t xml:space="preserve">P1112 hh02-1c kđt thanh hà ,bình minh,hà nội
Hh02-1c khu đô thị thanh hà xã cự khê thanh oai hà nội
0985543923 yến</t>
  </si>
  <si>
    <t xml:space="preserve">hongthamrv        </t>
  </si>
  <si>
    <t xml:space="preserve">Toà GH2 Vinhome Grand Park, phường Long Bình, Hcm  0359730053 -   hồng thắm</t>
  </si>
  <si>
    <t xml:space="preserve">sendobo         </t>
  </si>
  <si>
    <t xml:space="preserve">Sen 0949748771 Khóm 1 my an thap mười đomg thap</t>
  </si>
  <si>
    <t xml:space="preserve">mevaboi0111</t>
  </si>
  <si>
    <t xml:space="preserve">Tổ 4, ấp 5, xã Tân Hiệp, huyện Long Thành, tỉnh Đồng Nai. ( địa chỉ cũ) 
tổ 5, ấp 5 Tân Hiệp, xã Phước Thái, tỉnh Đồng Nai. ( Địa chỉ mới)
0967086867  Trúc Nguyễn</t>
  </si>
  <si>
    <t xml:space="preserve">_minn_00</t>
  </si>
  <si>
    <t xml:space="preserve">Kim Thu 0345788811 Tổ 6, thôn Tân hiệp 1, bù nho, Phú riềng, bình Phước </t>
  </si>
  <si>
    <t xml:space="preserve">nhienunboxne</t>
  </si>
  <si>
    <t xml:space="preserve">Nhiên  0357951038  Kho Z11, Kho tổng aeon, quốc lộ 1a , phường trung mỹ tây , quận 12, Tphcm</t>
  </si>
  <si>
    <t xml:space="preserve">biiemm2909</t>
  </si>
  <si>
    <t xml:space="preserve">Yến Anh thôn 5 nhân cơ đắk rlấp Đắk Nông 0389905513</t>
  </si>
  <si>
    <t xml:space="preserve">baitap24h </t>
  </si>
  <si>
    <t xml:space="preserve">shopee</t>
  </si>
  <si>
    <t xml:space="preserve">156 đường cọ dầu, ấp xuân hưng 3,xã xuân hòa, tp. đồng nai
sdt: 0397502592 tên: Hữu Dũng</t>
  </si>
  <si>
    <t xml:space="preserve">quelam.2603</t>
  </si>
  <si>
    <t xml:space="preserve">Quế Td 0867771331 Mộ đạo - đạo đức - bình xuyên - vĩnh phúc</t>
  </si>
  <si>
    <t xml:space="preserve">muoi28999</t>
  </si>
  <si>
    <t xml:space="preserve">Ấp Thanh Hùng Xã Đông Hưng B An Minh kiên Giang 0397931397 tên Muội Đổ ạ</t>
  </si>
  <si>
    <t xml:space="preserve">mebimreview77</t>
  </si>
  <si>
    <t xml:space="preserve">44 đường số 3 khu đô thị vạn phúc . Phường hiệp bình Phước (mới là phường hiệp bình) thủ Đức  0973401191 lan</t>
  </si>
  <si>
    <t xml:space="preserve"> .hip035</t>
  </si>
  <si>
    <t xml:space="preserve">Sdt 0373 619 118
Người nhận: Đỗ Hiệp
Dc: Thôn Long Mỹ (gần cầu Long Mỹ) , Xã Đồng Xuân, Tỉnh Đăk Lăk 
(Trước sáp nhập: Long Mỹ, Xuân Long, Đồng Xuân, Phú Yên)</t>
  </si>
  <si>
    <t xml:space="preserve">yuri.aesthetic_</t>
  </si>
  <si>
    <t xml:space="preserve">Ngân Phạm 0335961508 Xóm Giếng Mới An Cư Tuy An Phú Yên </t>
  </si>
  <si>
    <t xml:space="preserve">me_hana98</t>
  </si>
  <si>
    <t xml:space="preserve">Hương - Sdt : 0989.873.198
Số nhà 11 ngõ 65 , Hoàn dương, mộc bắc,duy tiên hà nam (đ/c cũ)
Số nhà 11, ngõ 65 , tdp Hoàn dương,p.Duy  tân , Ninh Bình (đ/c mới) </t>
  </si>
  <si>
    <t xml:space="preserve">lan.hng.nguyn07</t>
  </si>
  <si>
    <t xml:space="preserve">Chị Hương - 0375902898 -Ct3 chung cư coma6 đường 70 tây mỗ nam từ liêm</t>
  </si>
  <si>
    <t xml:space="preserve">lethithulen</t>
  </si>
  <si>
    <t xml:space="preserve">Chị Lên - 0788515817 - Ấp hoà hưng thị trấn búng tàu huyện phụng hiệp tỉnh hậu giang</t>
  </si>
  <si>
    <t xml:space="preserve">thuthao799</t>
  </si>
  <si>
    <t xml:space="preserve">Thảo . Sđt 0945799787 . Đc Trường mầm non Phú Thanh xã phu thanh huyện Tân Phú tỉnh Đồng Nai</t>
  </si>
  <si>
    <t xml:space="preserve"> .comnganga1</t>
  </si>
  <si>
    <t xml:space="preserve">Tên : nga . Địa chỉ : hồng bàng thanh lãng bình xuyên vĩnh phúc . 
Sđt : 0584652999</t>
  </si>
  <si>
    <t xml:space="preserve">maicuccc</t>
  </si>
  <si>
    <t xml:space="preserve">Mai cúc 170/66 đường lò lu - trường Thạnh - thủ đức. 0944457483</t>
  </si>
  <si>
    <t xml:space="preserve">comeo1504</t>
  </si>
  <si>
    <t xml:space="preserve">Hồng Nhung 0364615917 C317P tổ 15 kp bình đức1lt phường lái thiêu , tp hcm</t>
  </si>
  <si>
    <t xml:space="preserve">tothichreview01</t>
  </si>
  <si>
    <t xml:space="preserve">Lyla _ 0846611115 _ nhà văn hoá thôn thượng - Tuy Lai- Mỹ Đức- Hà Nội </t>
  </si>
  <si>
    <t xml:space="preserve">haianhxinhreview</t>
  </si>
  <si>
    <t xml:space="preserve">Hải Anh 0362849011 Hữu Đức Ninh Phước Khánh Hòa</t>
  </si>
  <si>
    <t xml:space="preserve">callmexuefang</t>
  </si>
  <si>
    <t xml:space="preserve">Phương 0389025779 4 trần bình trọng - cam lộc- cam ranh khánh hoà</t>
  </si>
  <si>
    <t xml:space="preserve">b.tin.y.n</t>
  </si>
  <si>
    <t xml:space="preserve">Dạ 0786815282 Cẩm Tiên Cầu Sắt ấp 2T, Bình Hàng Trung, Đồng Tháp</t>
  </si>
  <si>
    <t xml:space="preserve">trucnha09</t>
  </si>
  <si>
    <t xml:space="preserve">Phan Trúc Nha 0942109906 156/57 lê anh xuân - cái khế - ninh kiều- tp cần thơ</t>
  </si>
  <si>
    <t xml:space="preserve">thanh.hng.shop4</t>
  </si>
  <si>
    <t xml:space="preserve">Combo Gội Xả 1000ml</t>
  </si>
  <si>
    <t xml:space="preserve">Mây Khẩu Trang - Sdt: 0989110706 Địa chỉ ct1a, tân tây đô, tân lập, đan phượng, hà nội</t>
  </si>
  <si>
    <t xml:space="preserve">thythy.giadung</t>
  </si>
  <si>
    <t xml:space="preserve">01C đường An Sơn 21, Ấp An Hoà, An Sơn, P. Thuận An, Bình Dương, Tp. HCM
0844909090 Anh Thy</t>
  </si>
  <si>
    <t xml:space="preserve">dungdaily2</t>
  </si>
  <si>
    <t xml:space="preserve">Dung Trần 26/32A đường số 5, P ình Hưng Hòa A, Bình Tân 0937328937</t>
  </si>
  <si>
    <t xml:space="preserve">cindythuytichcuc</t>
  </si>
  <si>
    <t xml:space="preserve">Cindy Thuỷ Địa chỉ: Chung cư Topaz Garden, số 4, Trịnh Đình Thảo, Tân Phú, Hồ Chí Minh SĐT: 0976.473.778</t>
  </si>
  <si>
    <t xml:space="preserve">lanhlungvoitraidep</t>
  </si>
  <si>
    <t xml:space="preserve">Hoàng Vy 127/41 ni sư huỳnh liên  p. Bảy hiền q. Tân bình  0585664373</t>
  </si>
  <si>
    <t xml:space="preserve">Kawachan81</t>
  </si>
  <si>
    <t xml:space="preserve">13% - ads 7%</t>
  </si>
  <si>
    <t xml:space="preserve">Sữa Tắm HNH</t>
  </si>
  <si>
    <t xml:space="preserve">Hà 0985336050  TDP Chàng- Lục Nam- Bắc Ninh, 0985336050</t>
  </si>
  <si>
    <t xml:space="preserve">mebongbuoine</t>
  </si>
  <si>
    <t xml:space="preserve">Ngọc 0379370262 Ap 2, xa My Thanh, Thu Thua, Long An</t>
  </si>
  <si>
    <t xml:space="preserve">huyenntaphoa98</t>
  </si>
  <si>
    <t xml:space="preserve">Sữa Tắm HNH 1000ml</t>
  </si>
  <si>
    <t xml:space="preserve">- Địa chỉ cũ: (Sau The Vista An Phú)53, Đường 16, Khu phố 4, An Phú, Quận 2 (Thủ Đức), HCM
- Địa chỉ mới: Sau The Vista An Phú, 53, Đường 16, Khu phố 4, An Khánh, HCM
Huyền  0386878598</t>
  </si>
  <si>
    <t xml:space="preserve">kimanhrivew</t>
  </si>
  <si>
    <t xml:space="preserve">Kim Anh Xã ninh gia huyện đức trọng lâm đồng (vựa cá chín hải) 0358146763</t>
  </si>
  <si>
    <t xml:space="preserve">dtlananh19</t>
  </si>
  <si>
    <t xml:space="preserve">0396621250 lan anh- 0396621250- tân lập, đắk ru, đắk r lấp, đắk nông</t>
  </si>
  <si>
    <t xml:space="preserve">moon.nh2712</t>
  </si>
  <si>
    <t xml:space="preserve">Nhung moon 0329373202 Số nhà 68, Châu thôn 2, xã Yên Ninh( Yên Lạc cũ), tỉnh Thanh hóa</t>
  </si>
  <si>
    <t xml:space="preserve">nachamchi01</t>
  </si>
  <si>
    <t xml:space="preserve">Ngọc-0909681084-215 ấp ngoài , đường liên xóm ấp ngoài 1,xã phước lí ,tỉnh tây ninh
số 215, đường liên xóm, ấp Ngoài 1, xã Phước Hậu, huyện Cần Giuộc, tỉnh Long An.</t>
  </si>
  <si>
    <t xml:space="preserve">khnhlinh823</t>
  </si>
  <si>
    <t xml:space="preserve">Khánh Linh 0368138353 Sn38a, phường hà giang 1, tỉnh Tuyên Quang
Sn38a, phường nguyễn trãi, TP Hà Giang, tỉnh Hà Giang (cũ)</t>
  </si>
  <si>
    <t xml:space="preserve">haul_unbox3</t>
  </si>
  <si>
    <t xml:space="preserve">Quỳnh Anh 0858129771 xóm 5, xã cồn thoi, huyện kim sơn, tỉnh ninh bình</t>
  </si>
  <si>
    <t xml:space="preserve">lyy.shop.99</t>
  </si>
  <si>
    <t xml:space="preserve">Tổ 2 thị trấn đồng tâm huyện chợ mới tỉnh bắc kạn 0987733420 Hương</t>
  </si>
  <si>
    <t xml:space="preserve">honhuycosmetic</t>
  </si>
  <si>
    <t xml:space="preserve">Hồ Như Ý 0867682660 lô 3 khóm 3 thị trấn trà cú huỵen trà cú tỉnh trà vinh</t>
  </si>
  <si>
    <t xml:space="preserve">taphoathanhxuanx</t>
  </si>
  <si>
    <t xml:space="preserve">📌 Họ và tên  Nguyễn Thanh Xuân Số điện thoại   0971267395
📍 Địa chỉ nhận hàng  Thôn Ấp Hạ, xã Mê Linh, huyện Mê Linh, Hà Nội</t>
  </si>
  <si>
    <t xml:space="preserve">tinhtienty3944</t>
  </si>
  <si>
    <t xml:space="preserve">C159 khu dân cư thới an đường lê thị riêng thới an quận 12
0786264944 Nguyễn Tình</t>
  </si>
  <si>
    <t xml:space="preserve">giadungtienich.23</t>
  </si>
  <si>
    <t xml:space="preserve">địa chỉ : số nhà 12 ngõ 2b thôn cầu- xã bình minh- tp hà nội 
sđt : 0389273261 Khánh Ly</t>
  </si>
  <si>
    <t xml:space="preserve">nhunghaiphongreview</t>
  </si>
  <si>
    <t xml:space="preserve">186G, Hai Bà Trưng, An Biên, Lê Chân, Hải Phòng
0397504798</t>
  </si>
  <si>
    <t xml:space="preserve">thingoc_1108</t>
  </si>
  <si>
    <t xml:space="preserve">bích ngọc - 0334236232 - thôn rừng (cống chùa), phường vĩnh yên, tỉnh phú thọ 
thôn rừng (cống chùa), xã thanh trù, thành phố vĩnh yên, tỉnh vĩnh phúc</t>
  </si>
  <si>
    <t xml:space="preserve">Thanhloaniudau</t>
  </si>
  <si>
    <t xml:space="preserve">Thanh Loan 0961470514 Sn20 ngõ 86, khu biểu nghi, phường đông mai, thị xã quảng yên, tỉnh quảng ninh</t>
  </si>
  <si>
    <t xml:space="preserve">emdiemtap.hoa</t>
  </si>
  <si>
    <t xml:space="preserve">Kim Diễm,0933130206  Hẻm1423/286,tổ 26,khu phố vườn dừa,phước tân, biên hoà,đồng nai</t>
  </si>
  <si>
    <t xml:space="preserve">quynhmoon_1195</t>
  </si>
  <si>
    <t xml:space="preserve">0796061402 Quỳnh moon, tổ 1 quang minh mê linh hà nội</t>
  </si>
  <si>
    <t xml:space="preserve">colanreview</t>
  </si>
  <si>
    <t xml:space="preserve">434/76/75 Phạm Văn Chiêu P08 Quận Gò Vấp. Hồ Chí Minh. Sdt 0762498656</t>
  </si>
  <si>
    <t xml:space="preserve">landungthat9x</t>
  </si>
  <si>
    <t xml:space="preserve">maymayreview3</t>
  </si>
  <si>
    <t xml:space="preserve">Thanh Mây pao quán số 1 hà trì hà đông hà nội 0362364681</t>
  </si>
  <si>
    <t xml:space="preserve">hlig.unbox03</t>
  </si>
  <si>
    <t xml:space="preserve">(cũ: xưởng nhôm nam hoa, thôn thanh xá, xã việt cường, huyện yên mỹ, tỉnh hưng yên),(mới: xưởng nhôm nam hoa, thôn việt cường, xã việt yên, tỉnh hưng yên)
Hương - 0979325783</t>
  </si>
  <si>
    <t xml:space="preserve">tram_thichreview</t>
  </si>
  <si>
    <t xml:space="preserve">Bích Trâm - 0349140293 - 05 ấp 5 chùa, xã nam thái, huyện an biên, tỉnh kiên giang (Quán cf Song Bích)</t>
  </si>
  <si>
    <t xml:space="preserve">nhungnho686</t>
  </si>
  <si>
    <t xml:space="preserve">Người nhận : đặng cẩm nhung 
Sđt 0865960207
Xóm 6 tràng quan trọng quan đông hưng thái bình ( đoàn hương buôn bán xe máy )
🫸 nếu trường hợp k gọi đc( hiếm )ship tự vất vào nhà ( 🚫 cấm chỉ tự huỷ đơn )</t>
  </si>
  <si>
    <t xml:space="preserve">Thuthao799</t>
  </si>
  <si>
    <t xml:space="preserve">tnqa.riviu</t>
  </si>
  <si>
    <t xml:space="preserve">Thuy Nga Hẻm 736/205/33L Lê Đức Thọ, P.15, Gò Vấp, TP HCM
0382684885</t>
  </si>
  <si>
    <t xml:space="preserve">ngoc.tayninh</t>
  </si>
  <si>
    <t xml:space="preserve">Combo Gội Xả 1000ml 
Sữa tắm hoa hồng</t>
  </si>
  <si>
    <t xml:space="preserve">0915443548 hẻm 28 suối nguồn châu thành Tây ninh</t>
  </si>
  <si>
    <t xml:space="preserve">munnn923</t>
  </si>
  <si>
    <t xml:space="preserve">Thu Hạnh 0357014035 Thôn Quảng Thành Xã Đạo Nghĩa Huyện Đắk R' Lấp Tỉnh Đắk Nông </t>
  </si>
  <si>
    <t xml:space="preserve">lemlemnee</t>
  </si>
  <si>
    <t xml:space="preserve">245/11 gò dầu, tân quý, tân phú, hcm 0368177745 -Vy ạ</t>
  </si>
  <si>
    <t xml:space="preserve">taptanh123xuhong </t>
  </si>
  <si>
    <t xml:space="preserve">0365216581 Bảo Vy 0365216581 đội 1 thanh cần quảng vinh quảng điền huế </t>
  </si>
  <si>
    <t xml:space="preserve">thuyphan0304</t>
  </si>
  <si>
    <t xml:space="preserve">thuý 0898115683 xóm giữa vân hội tam dương vĩnh phúc ạ</t>
  </si>
  <si>
    <t xml:space="preserve">memochi10</t>
  </si>
  <si>
    <t xml:space="preserve">0978278217
Nguyễn Thị Thuỳ Trang - 0978278217 - Đối diện chi nhánh J&amp;T Express - Hòa Bình, Số 75, Trần Hưng Đạo, Tổ 11 (SN 90)</t>
  </si>
  <si>
    <t xml:space="preserve">anhdao20045</t>
  </si>
  <si>
    <t xml:space="preserve">Nguyen Anh Dao + 0984317221 + Trường MN Đồ Rê Mí, thôn Quảng Lộc, xã Đạo Nghĩa, huyện Đăk r lấp, tỉnh Đăk Nông </t>
  </si>
  <si>
    <t xml:space="preserve">reviewerdunggi</t>
  </si>
  <si>
    <t xml:space="preserve">Hoa - 0967639745 - thôn Hương Đình, Hoàng An, Phú Thọ</t>
  </si>
  <si>
    <t xml:space="preserve">14032311th</t>
  </si>
  <si>
    <t xml:space="preserve">Nguyễn Thị Hường 0972551036 Thôn Liễu kinh 6 Vĩnh Thịnh Hải Phòng
Thôn 6 việt tiến vĩnh bảo hải phòng</t>
  </si>
  <si>
    <t xml:space="preserve">my.idayy_</t>
  </si>
  <si>
    <t xml:space="preserve">Trà My 0342369279 Ấp 4 , mỹ quý tây, đức huệ , long an</t>
  </si>
  <si>
    <t xml:space="preserve">michang.muagi</t>
  </si>
  <si>
    <t xml:space="preserve">Kim Trang 0338454157 9/5 đường 155 ấp 6a xã Bình Mỹ củ chi tphcm</t>
  </si>
  <si>
    <t xml:space="preserve">betranniu04</t>
  </si>
  <si>
    <t xml:space="preserve">Mỹ Hoa 0904943203 xóm khe nước,nam kim,nam đàn,nghệ an/0971543530/mỹ hoa</t>
  </si>
  <si>
    <t xml:space="preserve">affiliatecathegioi_28</t>
  </si>
  <si>
    <t xml:space="preserve">Thảo Trang - 0326116175 472/26A Phạm Văn Đồng, Hiệp Bình Chánh, Thủ Đức, Hồ Chí Minh</t>
  </si>
  <si>
    <t xml:space="preserve">duyenruby05</t>
  </si>
  <si>
    <t xml:space="preserve">Mỹ Duyên 0363390360 117 Đông Hưng Thuận 5, Tân Hưng Thuận, Quận 12, Tp.HCM</t>
  </si>
  <si>
    <t xml:space="preserve">eb_hwn</t>
  </si>
  <si>
    <t xml:space="preserve">Ấp bà ai 2 xã Lộc ninh , Hồng dân , bạc Liêu ( tiệm tóc nàng xinh )
0823583544 Như</t>
  </si>
  <si>
    <t xml:space="preserve">mymotmy</t>
  </si>
  <si>
    <t xml:space="preserve">Hẻm 1022/40/14 đường bùi hữu nghĩa, ấp đồng nai, phường biên hoà, đồng nai
0908602348</t>
  </si>
  <si>
    <t xml:space="preserve">nhunglongan1986</t>
  </si>
  <si>
    <t xml:space="preserve">Ấp hậu phú 3 xã hậu mỹ tỉnh đồng tháp .Nhung 094 8806250 Nhung
Ấp hậu phú 3 xã hậu mỹ bắc A huyện cái bè tỉnh tiền giang</t>
  </si>
  <si>
    <t xml:space="preserve">betamnekk</t>
  </si>
  <si>
    <t xml:space="preserve">5M</t>
  </si>
  <si>
    <t xml:space="preserve">Như Ý 0367626947 10 đường B khu ADC Phú Thạnh HCM</t>
  </si>
  <si>
    <t xml:space="preserve">funnydays99_</t>
  </si>
  <si>
    <t xml:space="preserve">6,1M</t>
  </si>
  <si>
    <t xml:space="preserve">0392353498 Dung Nguyễn, 0392353498, Xóm trại, thôn Thuận Giang, phường Nam Hồng Lĩnh, tỉnh Hà Tĩnh
Dạ, địa chỉ là Xóm trại, thôn Thuận Giang, xã Thuận Lộc, thị xã Hồng Lĩnh, tỉnh Hà Tĩnh ạ</t>
  </si>
  <si>
    <t xml:space="preserve">daudaureview1703</t>
  </si>
  <si>
    <t xml:space="preserve">10,6M</t>
  </si>
  <si>
    <t xml:space="preserve">Thùy Trang 0865326720 Số nhà 35, thôn nhật chiêu7, xã liên châu, tỉnh phú thọ
Số nhà 35, thôn nhật chiêu 7, xã liên châu, huyện yên lạc, tỉnh vĩnh phúc</t>
  </si>
  <si>
    <t xml:space="preserve">lanhanh10.9.98 (sp)</t>
  </si>
  <si>
    <t xml:space="preserve">Lan Anh: 0372679483
Dc cũ: An Đông - Thái Hoà - Bình Giang - Hải Dương
Dc mới: An Đông - Xã Thượng Hồng - TP Hải Phòng</t>
  </si>
  <si>
    <t xml:space="preserve"> nii_shop_07</t>
  </si>
  <si>
    <t xml:space="preserve">6,4M</t>
  </si>
  <si>
    <t xml:space="preserve">- Đ/c : 12 Lương Thế Vinh, TDP Đạt Hiếu 5, Buôn Hồ, Đắk Lắk
- Tên : Hoàng Anh SDT : 0347.294.091</t>
  </si>
  <si>
    <t xml:space="preserve">cobesitrit</t>
  </si>
  <si>
    <t xml:space="preserve">10M</t>
  </si>
  <si>
    <t xml:space="preserve">Phương Trinh  0905039225 địa chỉ nhận hàng là 216/33Đường Võ Nguyên Giáp Thôn 2 Cụm 7 Phường Tân Lập Thành Phố BmT Tỉnh Đăk Lăk ạ</t>
  </si>
  <si>
    <t xml:space="preserve">_tiemnhathoxingg</t>
  </si>
  <si>
    <t xml:space="preserve">Kim Chi 0396322176 ĐC : Ấp An Phú, xã An Lạc Tây, huyện Kế Sách, tỉnh Sóc Trăng</t>
  </si>
  <si>
    <t xml:space="preserve">ngannef.05</t>
  </si>
  <si>
    <t xml:space="preserve">Ngân - 0768635219 - Chung cư thủy lợi 4, phường 26, bình Thạnh </t>
  </si>
  <si>
    <t xml:space="preserve">ban.mai.xanhh</t>
  </si>
  <si>
    <t xml:space="preserve">15M</t>
  </si>
  <si>
    <t xml:space="preserve">Nguyễn Lê 0396636573 Thôn4, xã Thọ Ngọc, Thanh Hoá
Thôn 4, xã Thọ Ngọc, huyện Triệu Sơn, tỉnh Thanh Hoá</t>
  </si>
  <si>
    <t xml:space="preserve">3105_i</t>
  </si>
  <si>
    <t xml:space="preserve">13M</t>
  </si>
  <si>
    <t xml:space="preserve">Kim Linh, 0812324826, 965/10 Quang Trung p14 Gò Vấp tphcm </t>
  </si>
  <si>
    <t xml:space="preserve">_2thang9</t>
  </si>
  <si>
    <t xml:space="preserve">12M</t>
  </si>
  <si>
    <t xml:space="preserve">nhàn-0379274632 348 ấp 3 xã thừa đức cẩm mỹ đồng nai</t>
  </si>
  <si>
    <t xml:space="preserve">huong.mina.iu</t>
  </si>
  <si>
    <t xml:space="preserve">32M</t>
  </si>
  <si>
    <t xml:space="preserve">Hương phong phú ninh giang hoa lư ninh bình 0949674699</t>
  </si>
  <si>
    <t xml:space="preserve">thanhshop0509</t>
  </si>
  <si>
    <t xml:space="preserve">Combo Gội Xả 1000ML</t>
  </si>
  <si>
    <t xml:space="preserve">2T3</t>
  </si>
  <si>
    <t xml:space="preserve">ĐC: số 40 Đông Khê, xã Đan Phượng, huyện Đan Phượng, Hà Nội. SDT: 0966632442 Thanh</t>
  </si>
  <si>
    <t xml:space="preserve">Tháng 9</t>
  </si>
  <si>
    <t xml:space="preserve">mai_mai_be_bong</t>
  </si>
  <si>
    <t xml:space="preserve">11M</t>
  </si>
  <si>
    <t xml:space="preserve">Mai 0962244509 Công ty Want Want, KCN Long Giang, xã Tân Phước 3, tỉnh Đồng Tháp
công ty Want Want, KCN Long Giang, Tân Lập 1, Tân Phước, Tiền Giang</t>
  </si>
  <si>
    <t xml:space="preserve">chanep.conxoi</t>
  </si>
  <si>
    <t xml:space="preserve">59M</t>
  </si>
  <si>
    <t xml:space="preserve">Huỳnh Thư 264/10/6/1 lê văn lương , tân hưng, quận 7 ( phía sau nhà chó betghe) 0914404609</t>
  </si>
  <si>
    <t xml:space="preserve">me.sam.tao</t>
  </si>
  <si>
    <t xml:space="preserve">14,5M</t>
  </si>
  <si>
    <t xml:space="preserve">Thảo Nguyên 0914366225 Cạnh Winmart Trái Diêm Tây Giang Tiền Hải Thái Bình</t>
  </si>
  <si>
    <t xml:space="preserve">miiu.pick</t>
  </si>
  <si>
    <t xml:space="preserve">Anh Thư 0347414421 Tạp hoá cô Tuyền 373/42/8 khu phố 5A, tổ 40c, phường Long Bình, Biên Hoà, Đồng Nai</t>
  </si>
  <si>
    <t xml:space="preserve">bapneee1225</t>
  </si>
  <si>
    <t xml:space="preserve">12% - ads 8%</t>
  </si>
  <si>
    <t xml:space="preserve">Thùy Linh 0395521237 Khu 7 Tu Vũ Thanh Thuỷ Phú Thọ ( gần đồi chè khu 4 cũ) sđt:0395521237</t>
  </si>
  <si>
    <t xml:space="preserve">huynhmongnhureview</t>
  </si>
  <si>
    <t xml:space="preserve">500M</t>
  </si>
  <si>
    <t xml:space="preserve">G01 tổ 14 ấp phước tân xã long hải tp hồ chí minh 
0365087730 Mộng Như G01 tổ 14 ấp phước tân xã phước tỉnh huyện long đất bà rịa vũng tàu</t>
  </si>
  <si>
    <t xml:space="preserve">aiiudua</t>
  </si>
  <si>
    <t xml:space="preserve">phố bảng đồng văn hà Giang 
Mua thị dua 0363490067</t>
  </si>
  <si>
    <t xml:space="preserve">emlantaphoa</t>
  </si>
  <si>
    <t xml:space="preserve">Đã gửi Brief</t>
  </si>
  <si>
    <t xml:space="preserve">40M</t>
  </si>
  <si>
    <t xml:space="preserve">2549/28/1/7 phạm thế hiển, p bình đông, hcm
0939.244.483 Lan</t>
  </si>
  <si>
    <t xml:space="preserve">hodiepvv </t>
  </si>
  <si>
    <t xml:space="preserve">Hồ Thị Điệp 0702984167 16/4d ấp 2 đông thạnh hóc môn hồ chí minh </t>
  </si>
  <si>
    <t xml:space="preserve">lamdayroiii</t>
  </si>
  <si>
    <t xml:space="preserve">Lam 0379221917 ; 32-34 bình thung, bình an, dĩ an</t>
  </si>
  <si>
    <t xml:space="preserve">Ponyoreview.2</t>
  </si>
  <si>
    <t xml:space="preserve">48M</t>
  </si>
  <si>
    <t xml:space="preserve">Kiều - 0914898337 - ấp xóm mới xã phong thạnh giá rai cà mau
Ấp xóm mới xã tân thạnh giá rai bạc liêu</t>
  </si>
  <si>
    <t xml:space="preserve">thuyxinh2003y</t>
  </si>
  <si>
    <t xml:space="preserve">24M</t>
  </si>
  <si>
    <t xml:space="preserve">Trần Phương Thủy 0899035017 xóm nam , xã tân tiến huyện an dương thành phố Hải Phòng</t>
  </si>
  <si>
    <t xml:space="preserve">tiemnhalong1304</t>
  </si>
  <si>
    <t xml:space="preserve">8,5M</t>
  </si>
  <si>
    <t xml:space="preserve">phạm minh thuý 0399238574 khu 12 - đồng trung - tu vũ - thanh thuỷ - phú thọ</t>
  </si>
  <si>
    <t xml:space="preserve">h.tyz010</t>
  </si>
  <si>
    <t xml:space="preserve">Tuyền 0907123130 Ấp lợi an, xã Bình Tân,huyện gò Công Tây, tỉnh Tiền Giang </t>
  </si>
  <si>
    <t xml:space="preserve">quycoyeuda_2000</t>
  </si>
  <si>
    <t xml:space="preserve">1T3</t>
  </si>
  <si>
    <t xml:space="preserve">Diệu Lê 033 8640374
P2 Pavilion ocean Park- Trâu Quỳ- Gia Lâm- Hà Nội</t>
  </si>
  <si>
    <t xml:space="preserve">hhuyenpicks1308</t>
  </si>
  <si>
    <t xml:space="preserve">9M</t>
  </si>
  <si>
    <t xml:space="preserve">Hải Huyền - 0934608859 - block a - chung cư tecco, 4449 nguyễn cửu phú , tân tạo , bình tân</t>
  </si>
  <si>
    <t xml:space="preserve">unboxing_withme06</t>
  </si>
  <si>
    <t xml:space="preserve">6M</t>
  </si>
  <si>
    <t xml:space="preserve">Phạm Phương Linh - 0559667415 - 1253 Phố Mới, Dị Sử, Mỹ Hào, Hưng Yên </t>
  </si>
  <si>
    <t xml:space="preserve">nhungpham.ptn</t>
  </si>
  <si>
    <t xml:space="preserve">12aps1 zen villa phường hữu nghị thành phố hoà bình 
0926854444 Phạm Nhung</t>
  </si>
  <si>
    <t xml:space="preserve">STT</t>
  </si>
  <si>
    <t xml:space="preserve">username KOL</t>
  </si>
  <si>
    <t xml:space="preserve">Ngày đăng</t>
  </si>
  <si>
    <t xml:space="preserve">Link video</t>
  </si>
  <si>
    <t xml:space="preserve">ID video</t>
  </si>
  <si>
    <t xml:space="preserve">CODE ADS</t>
  </si>
  <si>
    <t xml:space="preserve">shopbinbo1201</t>
  </si>
  <si>
    <t/>
    <r>
      <rPr>
        <u val="single"/>
        <color theme="10"/>
      </rPr>
      <t>https://www.tiktok.com/@meimi_spt01/video/7625981393398484245?is_from_webapp=1&amp;sender_device=pc</t>
    </r>
  </si>
  <si>
    <t xml:space="preserve">#uEU8gFBH80HLkdlrFX1oOoJvwJ//TjjhgJ/yEi9Ix1aH5ubLKn3kHpSboQ3bMZg=</t>
  </si>
  <si>
    <t xml:space="preserve">me.em.dau.ne2407</t>
  </si>
  <si>
    <t/>
    <r>
      <rPr>
        <u val="single"/>
        <color theme="10"/>
      </rPr>
      <t>https://www.tiktok.com/@me.em.dau.ne2407/video/7673530300915453204?_r=1&amp;_t=ZS-98qqs4XzPy1</t>
    </r>
  </si>
  <si>
    <t xml:space="preserve">#MllgNSb1QoKMgqX5fnYGhogj3gNhGp3NVDAEWcizCQSXKyUSlkZkQv2bsddgM68=</t>
  </si>
  <si>
    <t xml:space="preserve">nguyentien270895</t>
  </si>
  <si>
    <t/>
    <r>
      <rPr>
        <u val="single"/>
        <color theme="10"/>
      </rPr>
      <t>https://www.tiktok.com/@nguyentien270895/video/7672735349692534036?_r=1&amp;_t=ZS-98rjRtAFJTx</t>
    </r>
  </si>
  <si>
    <t xml:space="preserve">1999linhha24</t>
  </si>
  <si>
    <t/>
    <r>
      <rPr>
        <u val="single"/>
        <color theme="10"/>
      </rPr>
      <t>https://vt.tiktok.com/ZSVdrcKte/</t>
    </r>
  </si>
  <si>
    <t xml:space="preserve">#bqwX7xfyCBPnR91QxvHjlVGXpLUYG3Dfnjmmlmdn94hVPV9tqReE2rZqxpxGWpk=</t>
  </si>
  <si>
    <t/>
    <r>
      <rPr>
        <u val="single"/>
        <color theme="10"/>
      </rPr>
      <t>https://vt.tiktok.com/ZSVdrwFx8/</t>
    </r>
  </si>
  <si>
    <t xml:space="preserve">#eOF6LbmIWt4icZfW7ImtAA0SZNGDX7+r8LcXkgFtxCNAElh7Cz0m8aXVZp/Dzqk=</t>
  </si>
  <si>
    <t/>
    <r>
      <rPr>
        <u val="single"/>
        <color theme="10"/>
      </rPr>
      <t>https://www.tiktok.com/@nguyentien270895/video/7674109268060015893?shop_id=7496242113276513249&amp;shop_region=VN</t>
    </r>
  </si>
  <si>
    <t/>
    <r>
      <rPr>
        <u val="single"/>
        <color theme="10"/>
      </rPr>
      <t>https://www.tiktok.com/@me.em.dau.ne2407/video/7674248969953856788?shop_id=7496242113276513249&amp;shop_region=VN</t>
    </r>
  </si>
  <si>
    <t xml:space="preserve">minie2124</t>
  </si>
  <si>
    <t/>
    <r>
      <rPr>
        <u val="single"/>
        <color theme="10"/>
      </rPr>
      <t>https://www.tiktok.com/@minie2124/video/7674112867418901767?shop_id=7496242113276513249&amp;shop_region=VN</t>
    </r>
  </si>
  <si>
    <t xml:space="preserve">uyenkhanhsandeal1</t>
  </si>
  <si>
    <t/>
    <r>
      <rPr>
        <u val="single"/>
        <color theme="10"/>
      </rPr>
      <t>https://vt.tiktok.com/ZSVDChVoW/</t>
    </r>
  </si>
  <si>
    <t xml:space="preserve">#y37T9N+d9aVzlPVvE6wpqDYU49YWfHyreLfkCJTUvrBQoSeZjN/EYtEeKCTnMi8=</t>
  </si>
  <si>
    <t/>
    <r>
      <rPr>
        <u val="single"/>
        <color theme="10"/>
      </rPr>
      <t>https://vt.tiktok.com/ZSVDCUDFt/</t>
    </r>
  </si>
  <si>
    <t xml:space="preserve">#n9Igppz1OwMLUWkOenJ1AsFVkvLaGGdYBQGhuNk8yuSgxUydtctAyyhme6saPWo=</t>
  </si>
  <si>
    <t xml:space="preserve">tho.review83</t>
  </si>
  <si>
    <t/>
    <r>
      <rPr>
        <u val="single"/>
        <color theme="10"/>
      </rPr>
      <t>https://www.tiktok.com/@tho.review83/video/7676011525181689108?_r=1&amp;_t=ZS-992DMrkapHB</t>
    </r>
  </si>
  <si>
    <t xml:space="preserve">#t84oHFKPsRiZxSWM2YL5aRWvocrpWOHoTWI4ufGF6UcE9AMeodCgjJwpjLZSRdE=</t>
  </si>
  <si>
    <t xml:space="preserve">vangiadung19</t>
  </si>
  <si>
    <t/>
    <r>
      <rPr>
        <u val="single"/>
        <color theme="10"/>
      </rPr>
      <t>https://www.tiktok.com/@vangiadung19/video/7675534874316442900?_r=1&amp;_t=ZS-992IlDKsVG9</t>
    </r>
  </si>
  <si>
    <t/>
    <r>
      <rPr>
        <u val="single"/>
        <color theme="10"/>
      </rPr>
      <t>https://www.tiktok.com/@vangiadung19/video/7675527765571112213?_r=1&amp;_t=ZS-992IoqqJNfZ</t>
    </r>
  </si>
  <si>
    <t/>
    <r>
      <rPr>
        <u val="single"/>
        <color theme="10"/>
      </rPr>
      <t>https://www.tiktok.com/@vangiadung19/video/7675527715331558676?_r=1&amp;_t=ZS-992IpdHD5Qj</t>
    </r>
  </si>
  <si>
    <t xml:space="preserve">chanhchanhriziu</t>
  </si>
  <si>
    <t/>
    <r>
      <rPr>
        <u val="single"/>
        <color theme="10"/>
      </rPr>
      <t>https://www.tiktok.com/@chanhchanhriziu/video/7674831340855921927?_r=1&amp;_t=ZS-992LZ1dZajc</t>
    </r>
  </si>
  <si>
    <t xml:space="preserve">em.b.la.cung.thin</t>
  </si>
  <si>
    <t/>
    <r>
      <rPr>
        <u val="single"/>
        <color theme="10"/>
      </rPr>
      <t>https://www.tiktok.com/@em.b.la.cung.thin/video/7675755018368093460?_r=1&amp;_t=ZS-9912XslcLtk</t>
    </r>
  </si>
  <si>
    <t xml:space="preserve">#9HAzCt0vDdVirFqQMXIVNoG7B5nFpsC/wlrt2+SSDP3eQNF7XMZ1XCe9PWSAe9I=</t>
  </si>
  <si>
    <t xml:space="preserve">loanthichriviu93</t>
  </si>
  <si>
    <t/>
    <r>
      <rPr>
        <u val="single"/>
        <color theme="10"/>
      </rPr>
      <t>https://www.tiktok.com/@loanthichriviu93/video/7675650502222253333?_r=1&amp;_t=ZS-992M63UdVBc</t>
    </r>
  </si>
  <si>
    <t/>
    <r>
      <rPr>
        <u val="single"/>
        <color theme="10"/>
      </rPr>
      <t>https://www.tiktok.com/@loanthichriviu93/video/7675619573680557332?_r=1&amp;_t=ZS-992M70DuJb3</t>
    </r>
  </si>
  <si>
    <t xml:space="preserve">minhthupq</t>
  </si>
  <si>
    <t/>
    <r>
      <rPr>
        <u val="single"/>
        <color theme="10"/>
      </rPr>
      <t>https://vt.tiktok.com/ZSVfxhvj7/</t>
    </r>
  </si>
  <si>
    <t xml:space="preserve">#RxxmERcfjFtMsop2TuJ7a8c/IpOr7K08JxtAkXGeczVVP8LB1YxpWPcLAu3cXFE=</t>
  </si>
  <si>
    <t xml:space="preserve">sendobo</t>
  </si>
  <si>
    <t/>
    <r>
      <rPr>
        <u val="single"/>
        <color theme="10"/>
      </rPr>
      <t>https://www.tiktok.com/@sendobo/video/7674963692521344276?shop_id=7496242113276513249&amp;shop_region=VN</t>
    </r>
  </si>
  <si>
    <t xml:space="preserve">baitap24h</t>
  </si>
  <si>
    <t/>
    <r>
      <rPr>
        <u val="single"/>
        <color theme="10"/>
      </rPr>
      <t>https://sv.shopee.vn/share-video/aMJwY_XpCQBJuTBMAAAAAA==?c=share_web&amp;contentType=0&amp;fromShareLink=share-marker&amp;fromSource=copy_link&amp;jumpType=share&amp;myVideo=true&amp;pid=sv&amp;shareUserId=1278261577&amp;share_obj=video&amp;stm_medium=referral&amp;stm_source=rw&amp;uls_trackid=56fagu96003c</t>
    </r>
  </si>
  <si>
    <t xml:space="preserve">mebimreview77</t>
  </si>
  <si>
    <t/>
    <r>
      <rPr>
        <u val="single"/>
        <color theme="10"/>
      </rPr>
      <t>https://www.tiktok.com/@mebimreview77/video/7676520296794361109?_r=1&amp;_t=ZS-998oc03Xldy</t>
    </r>
  </si>
  <si>
    <t xml:space="preserve">#W+f9BSHvDc2rkT5kZnX6sqw/4sOrTlTsDqUzxyS477C5RwzGHZZTstrTuv/SOAQ=</t>
  </si>
  <si>
    <t/>
    <r>
      <rPr>
        <u val="single"/>
        <color theme="10"/>
      </rPr>
      <t>https://www.tiktok.com/@mebimreview77/video/7674630730298838293?_r=1&amp;_t=ZS-998ofvsPEXa</t>
    </r>
  </si>
  <si>
    <t xml:space="preserve">#3vvXTZefSu4ys5kskNhta+vV0HlNAbVE5+NmC4cYQYJnMOwF+PasM5sOtj28Dyg=</t>
  </si>
  <si>
    <t xml:space="preserve">lucafamilyreview</t>
  </si>
  <si>
    <t/>
    <r>
      <rPr>
        <u val="single"/>
        <color theme="10"/>
      </rPr>
      <t>https://www.tiktok.com/@lucafamilyreview/video/7677423946945383701?_r=1&amp;_t=ZS-998gwTlnKEP</t>
    </r>
  </si>
  <si>
    <t xml:space="preserve">#DQzZ5B6gBya1joTBLpVWXVX1fD+BSI2p+bKrZ64EK60F1jT+8so8twQaE0l8pVA=</t>
  </si>
  <si>
    <t xml:space="preserve">muoi28999</t>
  </si>
  <si>
    <t/>
    <r>
      <rPr>
        <u val="single"/>
        <color theme="10"/>
      </rPr>
      <t>https://www.tiktok.com/@muoi28999/video/7676287949436128519?_r=1&amp;_t=ZS-998dNJyidfz</t>
    </r>
  </si>
  <si>
    <t xml:space="preserve">hhhoa89</t>
  </si>
  <si>
    <t/>
    <r>
      <rPr>
        <u val="single"/>
        <color theme="10"/>
      </rPr>
      <t>https://www.tiktok.com/@hhhoa89/video/7676760795669089544?_r=1&amp;_t=ZS-995e6y0e8HA</t>
    </r>
  </si>
  <si>
    <t xml:space="preserve">#wHi+zBN9a9g+7ezKpjom8v/kG9H8+2bDB9AkXr4mf3nmgjMTvSbqO/W/vE11sPg=</t>
  </si>
  <si>
    <t xml:space="preserve">tieuziri.254</t>
  </si>
  <si>
    <t/>
    <r>
      <rPr>
        <u val="single"/>
        <color theme="10"/>
      </rPr>
      <t>https://www.tiktok.com/@tieuziri.254/video/7677010981817535762?_r=1&amp;_t=ZS-996n8LKqsRm</t>
    </r>
  </si>
  <si>
    <t xml:space="preserve">#knkJTazOe3fJh6hhMadd1KDZ7PRFSgsTEDuUggV8CCmZLPj0RYNKHqZXgSxHc+I=</t>
  </si>
  <si>
    <t xml:space="preserve">maicuccc</t>
  </si>
  <si>
    <t/>
    <r>
      <rPr>
        <u val="single"/>
        <color theme="10"/>
      </rPr>
      <t>https://www.tiktok.com/@undefined/video/7676478542716177685?shop_region=VN&amp;shop_id=7496242113276513249</t>
    </r>
  </si>
  <si>
    <t/>
    <r>
      <rPr>
        <u val="single"/>
        <color theme="10"/>
      </rPr>
      <t>https://www.tiktok.com/@maicuccc/video/7676674655138221333?shop_id=7496242113276513249&amp;shop_region=VN</t>
    </r>
  </si>
  <si>
    <t/>
    <r>
      <rPr>
        <u val="single"/>
        <color theme="10"/>
      </rPr>
      <t>https://www.tiktok.com/@maicuccc/video/7677177781754645781?shop_id=7496242113276513249&amp;shop_region=VN</t>
    </r>
  </si>
  <si>
    <t/>
    <r>
      <rPr>
        <u val="single"/>
        <color theme="10"/>
      </rPr>
      <t>https://www.tiktok.com/@maicuccc/video/7677600918673607957?shop_id=7496242113276513249&amp;shop_region=VN</t>
    </r>
  </si>
  <si>
    <t xml:space="preserve">me.be.gao.review.2405</t>
  </si>
  <si>
    <t/>
    <r>
      <rPr>
        <u val="single"/>
        <color theme="10"/>
      </rPr>
      <t>https://www.tiktok.com/@me.be.gao.review.2405/video/7675239767017032978?shop_id=7496242113276513249&amp;shop_region=VN</t>
    </r>
  </si>
  <si>
    <t/>
    <r>
      <rPr>
        <u val="single"/>
        <color theme="10"/>
      </rPr>
      <t>https://www.tiktok.com/@me.be.gao.review.2405/video/7675239949708414215?shop_region=VN&amp;shop_id=7496242113276513249</t>
    </r>
  </si>
  <si>
    <t/>
    <r>
      <rPr>
        <u val="single"/>
        <color theme="10"/>
      </rPr>
      <t>https://www.tiktok.com/@me.be.gao.review.2405/video/7675240155703266578?shop_id=7496242113276513249&amp;shop_region=VN</t>
    </r>
  </si>
  <si>
    <t xml:space="preserve">lethithulen</t>
  </si>
  <si>
    <t/>
    <r>
      <rPr>
        <u val="single"/>
        <color theme="10"/>
      </rPr>
      <t>https://www.tiktok.com/@lethithulen/video/7675540386680474898?shop_region=VN&amp;shop_id=7496242113276513249</t>
    </r>
  </si>
  <si>
    <t/>
    <r>
      <rPr>
        <u val="single"/>
        <color theme="10"/>
      </rPr>
      <t>https://www.tiktok.com/@sendobo/video/7675644228608871701?shop_id=7496242113276513249&amp;shop_region=VN</t>
    </r>
  </si>
  <si>
    <t xml:space="preserve">biiemm2909</t>
  </si>
  <si>
    <t/>
    <r>
      <rPr>
        <u val="single"/>
        <color theme="10"/>
      </rPr>
      <t>https://www.tiktok.com/@biiemm2909/video/7675648630547614996?shop_region=VN&amp;shop_id=7496242113276513249</t>
    </r>
  </si>
  <si>
    <t xml:space="preserve">0_t.l</t>
  </si>
  <si>
    <t/>
    <r>
      <rPr>
        <u val="single"/>
        <color theme="10"/>
      </rPr>
      <t>https://www.tiktok.com/@0_t.l/video/7675700175670643988?shop_region=VN&amp;shop_id=7496242113276513249</t>
    </r>
  </si>
  <si>
    <t xml:space="preserve">thuthao799</t>
  </si>
  <si>
    <t/>
    <r>
      <rPr>
        <u val="single"/>
        <color theme="10"/>
      </rPr>
      <t>https://www.tiktok.com/@thuthao799/video/7675899727749205268?shop_region=VN&amp;shop_id=7496242113276513249</t>
    </r>
  </si>
  <si>
    <t/>
    <r>
      <rPr>
        <u val="single"/>
        <color theme="10"/>
      </rPr>
      <t>https://www.tiktok.com/@thuthao799/video/7675755689809022228?shop_region=VN&amp;shop_id=7496242113276513249</t>
    </r>
  </si>
  <si>
    <t/>
    <r>
      <rPr>
        <u val="single"/>
        <color theme="10"/>
      </rPr>
      <t>https://www.tiktok.com/@thuthao799/video/7675951281143303445?shop_region=VN&amp;shop_id=7496242113276513249</t>
    </r>
  </si>
  <si>
    <t/>
    <r>
      <rPr>
        <u val="single"/>
        <color theme="10"/>
      </rPr>
      <t>https://www.tiktok.com/@thuthao799/video/7675989548278631700?shop_region=VN&amp;shop_id=7496242113276513249</t>
    </r>
  </si>
  <si>
    <t xml:space="preserve">ngocanh5699_</t>
  </si>
  <si>
    <t/>
    <r>
      <rPr>
        <u val="single"/>
        <color theme="10"/>
      </rPr>
      <t>https://www.tiktok.com/@ngocanh5699_/video/7676072744563248391?shop_region=VN&amp;shop_id=7496242113276513249</t>
    </r>
  </si>
  <si>
    <t/>
    <r>
      <rPr>
        <u val="single"/>
        <color theme="10"/>
      </rPr>
      <t>https://www.tiktok.com/@maicuccc/video/7675896945856040212?shop_region=VN&amp;shop_id=7496242113276513249</t>
    </r>
  </si>
  <si>
    <t/>
    <r>
      <rPr>
        <u val="single"/>
        <color theme="10"/>
      </rPr>
      <t>https://www.tiktok.com/@undefined/video/7675895973364682005?shop_region=VN&amp;shop_id=7496242113276513249</t>
    </r>
  </si>
  <si>
    <t/>
    <r>
      <rPr>
        <u val="single"/>
        <color theme="10"/>
      </rPr>
      <t>https://www.tiktok.com/@maicuccc/video/7676111487441603860?shop_id=7496242113276513249&amp;shop_region=VN</t>
    </r>
  </si>
  <si>
    <t xml:space="preserve">oanhoanh.30</t>
  </si>
  <si>
    <t/>
    <r>
      <rPr>
        <u val="single"/>
        <color theme="10"/>
      </rPr>
      <t>https://www.tiktok.com/@oanhoanh.30/video/7675741660684406037?shop_region=VN&amp;shop_id=7496242113276513249</t>
    </r>
  </si>
  <si>
    <t xml:space="preserve">phanh.lee_2001</t>
  </si>
  <si>
    <t/>
    <r>
      <rPr>
        <u val="single"/>
        <color theme="10"/>
      </rPr>
      <t>https://www.tiktok.com/@phanh.lee_2001/video/7675786335076060434?shop_id=7496242113276513249&amp;shop_region=VN</t>
    </r>
  </si>
  <si>
    <t/>
    <r>
      <rPr>
        <u val="single"/>
        <color theme="10"/>
      </rPr>
      <t>https://www.tiktok.com/@phanh.lee_2001/video/7675786838825028872?shop_region=VN&amp;shop_id=7496242113276513249</t>
    </r>
  </si>
  <si>
    <t/>
    <r>
      <rPr>
        <u val="single"/>
        <color theme="10"/>
      </rPr>
      <t>https://www.tiktok.com/@phanh.lee_2001/video/7675788769207012616?shop_region=VN&amp;shop_id=7496242113276513249</t>
    </r>
  </si>
  <si>
    <t/>
    <r>
      <rPr>
        <u val="single"/>
        <color theme="10"/>
      </rPr>
      <t>https://www.tiktok.com/@muoi28999/video/7676287949436128519?shop_region=VN&amp;shop_id=7496242113276513249</t>
    </r>
  </si>
  <si>
    <t/>
    <r>
      <rPr>
        <u val="single"/>
        <color theme="10"/>
      </rPr>
      <t>https://www.tiktok.com/@muoi28999/video/7676288899072806162?shop_id=7496242113276513249&amp;shop_region=VN</t>
    </r>
  </si>
  <si>
    <t xml:space="preserve">.comnganga1</t>
  </si>
  <si>
    <t/>
    <r>
      <rPr>
        <u val="single"/>
        <color theme="10"/>
      </rPr>
      <t>https://www.tiktok.com/@.comnganga1/video/7676302641634364692?shop_region=VN&amp;shop_id=7496242113276513249</t>
    </r>
  </si>
  <si>
    <t/>
    <r>
      <rPr>
        <u val="single"/>
        <color theme="10"/>
      </rPr>
      <t>https://www.tiktok.com/@1999linhha24/video/7676362894744767751?shop_region=VN&amp;shop_id=7496242113276513249</t>
    </r>
  </si>
  <si>
    <t xml:space="preserve">peachypick_</t>
  </si>
  <si>
    <t/>
    <r>
      <rPr>
        <u val="single"/>
        <color theme="10"/>
      </rPr>
      <t>https://www.tiktok.com/@peachypick_/video/7676410034485726484?shop_region=VN&amp;shop_id=7496242113276513249</t>
    </r>
  </si>
  <si>
    <t xml:space="preserve">conlarioday.2412</t>
  </si>
  <si>
    <t/>
    <r>
      <rPr>
        <u val="single"/>
        <color theme="10"/>
      </rPr>
      <t>https://www.tiktok.com/@conlarioday.2412/video/7676531985229139220?shop_region=VN&amp;shop_id=7496242113276513249</t>
    </r>
  </si>
  <si>
    <t xml:space="preserve">thuy.miu65</t>
  </si>
  <si>
    <t/>
    <r>
      <rPr>
        <u val="single"/>
        <color theme="10"/>
      </rPr>
      <t>https://www.tiktok.com/@thuy.miu65/video/7676773887874567444?shop_region=VN&amp;shop_id=7496242113276513249</t>
    </r>
  </si>
  <si>
    <t xml:space="preserve">hien.daily9</t>
  </si>
  <si>
    <t/>
    <r>
      <rPr>
        <u val="single"/>
        <color theme="10"/>
      </rPr>
      <t>https://www.tiktok.com/@hien.daily9/video/7676780256522505479?shop_region=VN&amp;shop_id=7496242113276513249</t>
    </r>
  </si>
  <si>
    <t/>
    <r>
      <rPr>
        <u val="single"/>
        <color theme="10"/>
      </rPr>
      <t>https://www.tiktok.com/@hien.daily9/video/7676780290626440456?shop_region=VN&amp;shop_id=7496242113276513249</t>
    </r>
  </si>
  <si>
    <t xml:space="preserve">nhatombexiu</t>
  </si>
  <si>
    <t/>
    <r>
      <rPr>
        <u val="single"/>
        <color theme="10"/>
      </rPr>
      <t>https://www.tiktok.com/@nhatombexiu/video/7676812726542273800?shop_region=VN&amp;shop_id=7496242113276513249</t>
    </r>
  </si>
  <si>
    <t/>
    <r>
      <rPr>
        <u val="single"/>
        <color theme="10"/>
      </rPr>
      <t>https://www.tiktok.com/@vangiadung19/video/7676885795801697556?shop_region=VN&amp;shop_id=7496242113276513249</t>
    </r>
  </si>
  <si>
    <t/>
    <r>
      <rPr>
        <u val="single"/>
        <color theme="10"/>
      </rPr>
      <t>https://www.tiktok.com/@vangiadung19/video/7676884796181630229?shop_region=VN&amp;shop_id=7496242113276513249</t>
    </r>
  </si>
  <si>
    <t xml:space="preserve">vihashop</t>
  </si>
  <si>
    <t/>
    <r>
      <rPr>
        <u val="single"/>
        <color theme="10"/>
      </rPr>
      <t>https://www.tiktok.com/@vihashop/video/7677232035299151125?shop_region=VN&amp;shop_id=7496242113276513249</t>
    </r>
  </si>
  <si>
    <t xml:space="preserve">ntnx.23104</t>
  </si>
  <si>
    <t/>
    <r>
      <rPr>
        <u val="single"/>
        <color theme="10"/>
      </rPr>
      <t>https://www.tiktok.com/@ntnx.23104/video/7677603541627849991?_r=1&amp;_t=ZS-99AeSBKBse1</t>
    </r>
  </si>
  <si>
    <t xml:space="preserve">#nWj5AVs/U93OCQGsVoAudjNJC5XaUNiMqrWnsAToVHFuOg6gyeIdltceN1kIbyQ=</t>
  </si>
  <si>
    <t xml:space="preserve"> _mekhanhhuyen1508_</t>
  </si>
  <si>
    <t/>
    <r>
      <rPr>
        <u val="single"/>
        <color theme="10"/>
      </rPr>
      <t>https://www.tiktok.com/@_mekhanhhuyen1508_/video/7677825860245687572?_r=1&amp;_t=ZS-99AWoiYJhrB</t>
    </r>
  </si>
  <si>
    <t/>
    <r>
      <rPr>
        <u val="single"/>
        <color theme="10"/>
      </rPr>
      <t>https://vt.tiktok.com/ZSVCFDtJv/</t>
    </r>
  </si>
  <si>
    <t xml:space="preserve">#maDfmWPar0htWUcInBk2HdUni0BK7w+OAIavWfwCPOal+wwABuQnc7DIHxeFKC8=</t>
  </si>
  <si>
    <t/>
    <r>
      <rPr>
        <u val="single"/>
        <color theme="10"/>
      </rPr>
      <t>https://www.tiktok.com/@nguyentien270895/video/7677398014033513748?shop_region=VN&amp;shop_id=7496242113276513249</t>
    </r>
  </si>
  <si>
    <t xml:space="preserve">lienmatto</t>
  </si>
  <si>
    <t/>
    <r>
      <rPr>
        <u val="single"/>
        <color theme="10"/>
      </rPr>
      <t>https://www.tiktok.com/@lienmatto/video/7677457927157878034?shop_region=VN&amp;shop_id=7496242113276513249</t>
    </r>
  </si>
  <si>
    <t/>
    <r>
      <rPr>
        <u val="single"/>
        <color theme="10"/>
      </rPr>
      <t>https://www.tiktok.com/@lienmatto/video/7677458207802920199?shop_id=7496242113276513249&amp;shop_region=VN</t>
    </r>
  </si>
  <si>
    <t xml:space="preserve">.hip035</t>
  </si>
  <si>
    <t/>
    <r>
      <rPr>
        <u val="single"/>
        <color theme="10"/>
      </rPr>
      <t>https://www.tiktok.com/@.hip035/video/7677494137708498183?shop_region=VN&amp;shop_id=7496242113276513249</t>
    </r>
  </si>
  <si>
    <t xml:space="preserve">_minn_00</t>
  </si>
  <si>
    <t/>
    <r>
      <rPr>
        <u val="single"/>
        <color theme="10"/>
      </rPr>
      <t>https://www.tiktok.com/@_minn_00/video/7677541737971141906?shop_region=VN&amp;shop_id=7496242113276513249</t>
    </r>
  </si>
  <si>
    <t xml:space="preserve">tinhtienty3944</t>
  </si>
  <si>
    <t/>
    <r>
      <rPr>
        <u val="single"/>
        <color theme="10"/>
      </rPr>
      <t>https://www.tiktok.com/@tinhtienty3944/video/7677614859764354324?shop_region=VN&amp;shop_id=7496242113276513249</t>
    </r>
  </si>
  <si>
    <t/>
    <r>
      <rPr>
        <u val="single"/>
        <color theme="10"/>
      </rPr>
      <t>https://www.tiktok.com/@tinhtienty3944/video/7677610871249472788?shop_region=VN&amp;shop_id=7496242113276513249</t>
    </r>
  </si>
  <si>
    <t/>
    <r>
      <rPr>
        <u val="single"/>
        <color theme="10"/>
      </rPr>
      <t>https://www.tiktok.com/@thuthao799/video/7677551500289264916?shop_id=7496242113276513249&amp;shop_region=VN</t>
    </r>
  </si>
  <si>
    <t/>
    <r>
      <rPr>
        <u val="single"/>
        <color theme="10"/>
      </rPr>
      <t>https://www.tiktok.com/@tinhtienty3944/video/7677616319784684820?shop_region=VN&amp;shop_id=7496242113276513249</t>
    </r>
  </si>
  <si>
    <t xml:space="preserve">callmexuefang</t>
  </si>
  <si>
    <t/>
    <r>
      <rPr>
        <u val="single"/>
        <color theme="10"/>
      </rPr>
      <t>https://www.tiktok.com/@callmexuefang/video/7677790095843380487?shop_region=VN&amp;shop_id=7496242113276513249</t>
    </r>
  </si>
  <si>
    <t/>
    <r>
      <rPr>
        <u val="single"/>
        <color theme="10"/>
      </rPr>
      <t>https://www.tiktok.com/@tho.review83/video/7677858038270676245?shop_region=VN&amp;shop_id=7496242113276513249</t>
    </r>
  </si>
  <si>
    <t xml:space="preserve">lan.hng.nguyn07</t>
  </si>
  <si>
    <t/>
    <r>
      <rPr>
        <u val="single"/>
        <color theme="10"/>
      </rPr>
      <t>https://www.tiktok.com/@lan.hng.nguyn07/video/7677895702940290325?shop_id=7496242113276513249&amp;shop_region=VN</t>
    </r>
  </si>
  <si>
    <t/>
    <r>
      <rPr>
        <u val="single"/>
        <color theme="10"/>
      </rPr>
      <t>https://www.tiktok.com/@maicuccc/video/7677910995083480340?shop_id=7496242113276513249&amp;shop_region=VN</t>
    </r>
  </si>
  <si>
    <t/>
    <r>
      <rPr>
        <u val="single"/>
        <color theme="10"/>
      </rPr>
      <t>https://www.tiktok.com/@maicuccc/video/7677897757209693460?shop_region=VN&amp;shop_id=7496242113276513249</t>
    </r>
  </si>
  <si>
    <t/>
    <r>
      <rPr>
        <u val="single"/>
        <color theme="10"/>
      </rPr>
      <t>https://www.tiktok.com/@tinhtienty3944/video/7677921582693600532?shop_region=VN&amp;shop_id=7496242113276513249</t>
    </r>
  </si>
  <si>
    <t/>
    <r>
      <rPr>
        <u val="single"/>
        <color theme="10"/>
      </rPr>
      <t>https://www.tiktok.com/@tinhtienty3944/video/7678142277134454036?shop_region=VN&amp;shop_id=7496242113276513249</t>
    </r>
  </si>
  <si>
    <t/>
    <r>
      <rPr>
        <u val="single"/>
        <color theme="10"/>
      </rPr>
      <t>https://www.tiktok.com/@thuthao799/video/7678174974422715668?shop_region=VN&amp;shop_id=7496242113276513249</t>
    </r>
  </si>
  <si>
    <t/>
    <r>
      <rPr>
        <u val="single"/>
        <color theme="10"/>
      </rPr>
      <t>https://www.tiktok.com/@nguyentien270895/video/7678197473810124052?shop_region=VN&amp;shop_id=7496242113276513249</t>
    </r>
  </si>
  <si>
    <t xml:space="preserve">b.tin.y.n</t>
  </si>
  <si>
    <t/>
    <r>
      <rPr>
        <u val="single"/>
        <color theme="10"/>
      </rPr>
      <t>https://www.tiktok.com/@b.tin.y.n/video/7678204918347451668?shop_region=VN&amp;shop_id=7496242113276513249</t>
    </r>
  </si>
  <si>
    <t/>
    <r>
      <rPr>
        <u val="single"/>
        <color theme="10"/>
      </rPr>
      <t>https://www.tiktok.com/@lan.hng.nguyn07/video/7678294915855518997?shop_region=VN&amp;shop_id=7496242113276513249</t>
    </r>
  </si>
  <si>
    <t xml:space="preserve">moon.nh2712</t>
  </si>
  <si>
    <t/>
    <r>
      <rPr>
        <u val="single"/>
        <color theme="10"/>
      </rPr>
      <t>https://www.tiktok.com/@moon.nh2712/video/7678311671336537362?shop_region=VN&amp;shop_id=7496242113276513249</t>
    </r>
  </si>
  <si>
    <t xml:space="preserve">Sữa tắm</t>
  </si>
  <si>
    <t xml:space="preserve">minmacarong</t>
  </si>
  <si>
    <t/>
    <r>
      <rPr>
        <u val="single"/>
        <color theme="10"/>
      </rPr>
      <t>https://www.tiktok.com/@minmacarong/video/7678335635882511624?shop_region=VN&amp;shop_id=7496242113276513249</t>
    </r>
  </si>
  <si>
    <t/>
    <r>
      <rPr>
        <u val="single"/>
        <color theme="10"/>
      </rPr>
      <t>https://www.tiktok.com/@mebimreview77/video/7678398910607412500?shop_region=VN&amp;shop_id=7496242113276513249</t>
    </r>
  </si>
  <si>
    <t/>
    <r>
      <rPr>
        <u val="single"/>
        <color theme="10"/>
      </rPr>
      <t>https://www.tiktok.com/@1999linhha24/video/7678631783222627602?shop_region=VN&amp;shop_id=7496242113276513249</t>
    </r>
  </si>
  <si>
    <t/>
    <r>
      <rPr>
        <u val="single"/>
        <color theme="10"/>
      </rPr>
      <t>https://www.tiktok.com/@maicuccc/video/7678663427841068309?shop_region=VN&amp;shop_id=7496242113276513249</t>
    </r>
  </si>
  <si>
    <t xml:space="preserve"> t.hinou26</t>
  </si>
  <si>
    <t/>
    <r>
      <rPr>
        <u val="single"/>
        <color theme="10"/>
      </rPr>
      <t>https://vt.tiktok.com/ZSVc69FhY/</t>
    </r>
  </si>
  <si>
    <t xml:space="preserve">#E/Sr36IPAVncOLRLs4GHlEGHp4qJoEStcnZ6FaKOF/Xgck9WQmMN6etV7q++4Y0=</t>
  </si>
  <si>
    <t xml:space="preserve">yphuong.m52</t>
  </si>
  <si>
    <t/>
    <r>
      <rPr>
        <u val="single"/>
        <color theme="10"/>
      </rPr>
      <t>https://www.tiktok.com/@yphuong.m52/video/7678892499833752853?shop_id=7496242113276513249&amp;shop_region=VN</t>
    </r>
  </si>
  <si>
    <t/>
    <r>
      <rPr>
        <u val="single"/>
        <color theme="10"/>
      </rPr>
      <t>https://www.tiktok.com/@yphuong.m52/video/7678895832396991764?shop_id=7496242113276513249&amp;shop_region=VN</t>
    </r>
  </si>
  <si>
    <t/>
    <r>
      <rPr>
        <u val="single"/>
        <color theme="10"/>
      </rPr>
      <t>https://www.tiktok.com/@b.tin.y.n/video/7678914242937965844?shop_region=VN&amp;shop_id=7496242113276513249</t>
    </r>
  </si>
  <si>
    <t/>
    <r>
      <rPr>
        <u val="single"/>
        <color theme="10"/>
      </rPr>
      <t>https://www.tiktok.com/@lan.hng.nguyn07/video/7678944339799969044?shop_region=VN&amp;shop_id=7496242113276513249</t>
    </r>
  </si>
  <si>
    <t/>
    <r>
      <rPr>
        <u val="single"/>
        <color theme="10"/>
      </rPr>
      <t>https://www.tiktok.com/@maicuccc/video/7678973718957149461?shop_region=VN&amp;shop_id=7496242113276513249</t>
    </r>
  </si>
  <si>
    <t/>
    <r>
      <rPr>
        <u val="single"/>
        <color theme="10"/>
      </rPr>
      <t>https://www.tiktok.com/@minie2124/video/7679052925162966290?shop_region=VN&amp;shop_id=7496242113276513249</t>
    </r>
  </si>
  <si>
    <t/>
    <r>
      <rPr>
        <u val="single"/>
        <color theme="10"/>
      </rPr>
      <t>https://www.tiktok.com/@.hip035/video/7679082892856691975?shop_region=VN&amp;shop_id=7496242113276513249</t>
    </r>
  </si>
  <si>
    <t xml:space="preserve">maymayreview3</t>
  </si>
  <si>
    <t/>
    <r>
      <rPr>
        <u val="single"/>
        <color theme="10"/>
      </rPr>
      <t>https://www.tiktok.com/@maymayreview3/video/7679118843901398279?shop_region=VN&amp;shop_id=7496242113276513249</t>
    </r>
  </si>
  <si>
    <t xml:space="preserve">lyy.shop.99</t>
  </si>
  <si>
    <t/>
    <r>
      <rPr>
        <u val="single"/>
        <color theme="10"/>
      </rPr>
      <t>https://www.tiktok.com/@lyy.shop.99/video/7679309845245283601?_r=1&amp;_t=ZS-99KWG4x97Sr</t>
    </r>
  </si>
  <si>
    <t/>
    <r>
      <rPr>
        <u val="single"/>
        <color theme="10"/>
      </rPr>
      <t>https://www.tiktok.com/@lyy.shop.99/video/7679312748857134337?_r=1&amp;_t=ZS-99KWCxMTDW4</t>
    </r>
  </si>
  <si>
    <t/>
    <r>
      <rPr>
        <u val="single"/>
        <color theme="10"/>
      </rPr>
      <t>https://www.tiktok.com/@lyy.shop.99/video/7679324094499654913?_r=1&amp;_t=ZS-99KWFfztFTM</t>
    </r>
  </si>
  <si>
    <t/>
    <r>
      <rPr>
        <u val="single"/>
        <color theme="10"/>
      </rPr>
      <t>https://www.tiktok.com/@biiemm2909/video/7679341745095724308?shop_region=VN&amp;shop_id=7496242113276513249</t>
    </r>
  </si>
  <si>
    <t xml:space="preserve">colanreview</t>
  </si>
  <si>
    <t/>
    <r>
      <rPr>
        <u val="single"/>
        <color theme="10"/>
      </rPr>
      <t>https://www.tiktok.com/@colanreview/video/7679374358086700308?shop_region=VN&amp;shop_id=7496242113276513249</t>
    </r>
  </si>
  <si>
    <t xml:space="preserve">gội xả 1000ml</t>
  </si>
  <si>
    <t/>
    <r>
      <rPr>
        <u val="single"/>
        <color theme="10"/>
      </rPr>
      <t>https://www.tiktok.com/@thuthao799/video/7679394429198798100?shop_region=VN&amp;shop_id=7496242113276513249</t>
    </r>
  </si>
  <si>
    <t xml:space="preserve">yen68.68</t>
  </si>
  <si>
    <t/>
    <r>
      <rPr>
        <u val="single"/>
        <color theme="10"/>
      </rPr>
      <t>https://www.tiktok.com/@yen68.68/video/7679488393243315474?shop_region=VN&amp;shop_id=7496242113276513249</t>
    </r>
  </si>
  <si>
    <t/>
    <r>
      <rPr>
        <u val="single"/>
        <color theme="10"/>
      </rPr>
      <t>https://www.tiktok.com/@yen68.68/video/7679487581720972552?shop_region=VN&amp;shop_id=7496242113276513249</t>
    </r>
  </si>
  <si>
    <t/>
    <r>
      <rPr>
        <u val="single"/>
        <color theme="10"/>
      </rPr>
      <t>https://www.tiktok.com/@yen68.68/video/7679486487490022663?shop_region=VN&amp;shop_id=7496242113276513249</t>
    </r>
  </si>
  <si>
    <t xml:space="preserve">trucnha09</t>
  </si>
  <si>
    <t/>
    <r>
      <rPr>
        <u val="single"/>
        <color theme="10"/>
      </rPr>
      <t>https://www.tiktok.com/@trucnha09/video/7679711296467569936?_r=1&amp;_t=ZS-99KuRhJZkKD</t>
    </r>
  </si>
  <si>
    <t xml:space="preserve">#pXo9811pCbUkpAnOk6ZDfmDNnLnSLOSEnepy8cfEZtGICOsiKysqZLe87pdZwa4=</t>
  </si>
  <si>
    <t xml:space="preserve">honhuycosmetic</t>
  </si>
  <si>
    <t/>
    <r>
      <rPr>
        <u val="single"/>
        <color theme="10"/>
      </rPr>
      <t>https://www.tiktok.com/@honhuycosmetic/video/7677842750770842888?_r=1&amp;_t=ZS-99KjnxwRb1E</t>
    </r>
  </si>
  <si>
    <t xml:space="preserve">#hx0V30SJ5RUFL0eNa4KU6mvDCPkzyQpMlhCAIk8F70vMmgGDB84iBflpPQW6Mms=</t>
  </si>
  <si>
    <t/>
    <r>
      <rPr>
        <u val="single"/>
        <color theme="10"/>
      </rPr>
      <t>https://www.tiktok.com/@maymayreview3/video/7679485620061818130?shop_region=VN&amp;shop_id=7496242113276513249</t>
    </r>
  </si>
  <si>
    <t/>
    <r>
      <rPr>
        <u val="single"/>
        <color theme="10"/>
      </rPr>
      <t>https://www.tiktok.com/@colanreview/video/7679483370782346517?shop_region=VN&amp;shop_id=7496242113276513249</t>
    </r>
  </si>
  <si>
    <t/>
    <r>
      <rPr>
        <u val="single"/>
        <color theme="10"/>
      </rPr>
      <t>https://www.tiktok.com/@mebimreview77/video/7679501921090063637?shop_id=7496242113276513249&amp;shop_region=VN</t>
    </r>
  </si>
  <si>
    <t/>
    <r>
      <rPr>
        <u val="single"/>
        <color theme="10"/>
      </rPr>
      <t>https://www.tiktok.com/@thuthao799/video/7679611625317371157?shop_region=VN&amp;shop_id=7496242113276513249</t>
    </r>
  </si>
  <si>
    <t xml:space="preserve">ST</t>
  </si>
  <si>
    <t/>
    <r>
      <rPr>
        <u val="single"/>
        <color theme="10"/>
      </rPr>
      <t>https://www.tiktok.com/@thuthao799/video/7679640583660670229?shop_region=VN&amp;shop_id=7496242113276513249</t>
    </r>
  </si>
  <si>
    <t xml:space="preserve">giadungtienich.23</t>
  </si>
  <si>
    <t/>
    <r>
      <rPr>
        <u val="single"/>
        <color theme="10"/>
      </rPr>
      <t>https://www.tiktok.com/@giadungtienich.23/video/7679712276407946517?shop_region=VN&amp;shop_id=7496242113276513249</t>
    </r>
  </si>
  <si>
    <t/>
    <r>
      <rPr>
        <u val="single"/>
        <color theme="10"/>
      </rPr>
      <t>https://www.tiktok.com/@giadungtienich.23/video/7679751143177702674?shop_id=7496242113276513249&amp;shop_region=VN</t>
    </r>
  </si>
  <si>
    <t/>
    <r>
      <rPr>
        <u val="single"/>
        <color theme="10"/>
      </rPr>
      <t>https://www.tiktok.com/@giadungtienich.23/video/7679751311939603719?shop_id=7496242113276513249&amp;shop_region=VN</t>
    </r>
  </si>
  <si>
    <t/>
    <r>
      <rPr>
        <u val="single"/>
        <color theme="10"/>
      </rPr>
      <t>https://www.tiktok.com/@giadungtienich.23/video/7679750988365876498?shop_id=7496242113276513249&amp;shop_region=VN</t>
    </r>
  </si>
  <si>
    <t xml:space="preserve">landungthat9x</t>
  </si>
  <si>
    <t/>
    <r>
      <rPr>
        <u val="single"/>
        <color theme="10"/>
      </rPr>
      <t>https://www.tiktok.com/@landungthat9x/video/7679783583912824085?shop_id=7496242113276513249&amp;shop_region=VN</t>
    </r>
  </si>
  <si>
    <t xml:space="preserve">lemlemnee</t>
  </si>
  <si>
    <t/>
    <r>
      <rPr>
        <u val="single"/>
        <color theme="10"/>
      </rPr>
      <t>https://www.tiktok.com/@lemlemnee/video/7679882166267825429?shop_region=VN&amp;shop_id=7496242113276513249</t>
    </r>
  </si>
  <si>
    <t/>
    <r>
      <rPr>
        <u val="single"/>
        <color theme="10"/>
      </rPr>
      <t>https://www.tiktok.com/@thuthao799/video/7679981168577629461?shop_region=VN&amp;shop_id=7496242113276513249</t>
    </r>
  </si>
  <si>
    <t/>
    <r>
      <rPr>
        <u val="single"/>
        <color theme="10"/>
      </rPr>
      <t>https://www.tiktok.com/@colanreview/video/7679993543619890452?shop_region=VN&amp;shop_id=7496242113276513249</t>
    </r>
  </si>
  <si>
    <t xml:space="preserve">thanh.hng.shop4</t>
  </si>
  <si>
    <t/>
    <r>
      <rPr>
        <u val="single"/>
        <color theme="10"/>
      </rPr>
      <t>https://www.tiktok.com/@thanh.hng.shop4/video/7680119965436972306?shop_id=7496242113276513249&amp;shop_region=VN</t>
    </r>
  </si>
  <si>
    <t/>
    <r>
      <rPr>
        <u val="single"/>
        <color theme="10"/>
      </rPr>
      <t>https://www.tiktok.com/@thanh.hng.shop4/video/7680125318941789447?shop_id=7496242113276513249&amp;shop_region=VN</t>
    </r>
  </si>
  <si>
    <t/>
    <r>
      <rPr>
        <u val="single"/>
        <color theme="10"/>
      </rPr>
      <t>tiktok.com/@thuthao799/video/7680126910759750933?shop_region=VN&amp;shop_id=7496242113276513249</t>
    </r>
  </si>
  <si>
    <t/>
    <r>
      <rPr>
        <u val="single"/>
        <color theme="10"/>
      </rPr>
      <t>https://www.tiktok.com/@colanreview/video/7680180551117982997?shop_region=VN&amp;shop_id=7496242113276513249</t>
    </r>
  </si>
  <si>
    <t xml:space="preserve">hip035</t>
  </si>
  <si>
    <t/>
    <r>
      <rPr>
        <u val="single"/>
        <color theme="10"/>
      </rPr>
      <t>https://www.tiktok.com/@.hip035/video/7680497342444752136?shop_region=VN&amp;shop_id=7496242113276513249</t>
    </r>
  </si>
  <si>
    <t xml:space="preserve">ngoc.tayninh</t>
  </si>
  <si>
    <t/>
    <r>
      <rPr>
        <u val="single"/>
        <color theme="10"/>
      </rPr>
      <t>https://www.tiktok.com/@ngoc.tayninh/video/7680509079298559240?shop_id=7496242113276513249&amp;shop_region=VN</t>
    </r>
  </si>
  <si>
    <t/>
    <r>
      <rPr>
        <u val="single"/>
        <color theme="10"/>
      </rPr>
      <t>https://www.tiktok.com/@ngoc.tayninh/video/7680508198025006343?shop_id=7496242113276513249&amp;shop_region=VN</t>
    </r>
  </si>
  <si>
    <t xml:space="preserve">hlig.unbox03</t>
  </si>
  <si>
    <t/>
    <r>
      <rPr>
        <u val="single"/>
        <color theme="10"/>
      </rPr>
      <t>https://www.tiktok.com/@hlig.unbox03/video/7679511198471179527?shop_region=VN&amp;shop_id=7496242113276513249</t>
    </r>
  </si>
  <si>
    <t/>
    <r>
      <rPr>
        <u val="single"/>
        <color theme="10"/>
      </rPr>
      <t>https://www.tiktok.com/@biiemm2909/video/7680549331841092885?shop_region=VN&amp;shop_id=7496242113276513249</t>
    </r>
  </si>
  <si>
    <t/>
    <r>
      <rPr>
        <u val="single"/>
        <color theme="10"/>
      </rPr>
      <t>https://www.tiktok.com/@ngoc.tayninh/video/7680511381254229266?shop_region=VN&amp;shop_id=7496242113276513249</t>
    </r>
  </si>
  <si>
    <t/>
    <r>
      <rPr>
        <u val="single"/>
        <color theme="10"/>
      </rPr>
      <t>https://www.tiktok.com/@baitap24h/video/7677488814402653461?shop_id=7496242113276513249&amp;shop_region=VN</t>
    </r>
  </si>
  <si>
    <t/>
    <r>
      <rPr>
        <u val="single"/>
        <color theme="10"/>
      </rPr>
      <t>https://www.tiktok.com/@giadungtienich.23/video/7680602252955979016?shop_region=VN&amp;shop_id=7496242113276513249</t>
    </r>
  </si>
  <si>
    <t/>
    <r>
      <rPr>
        <u val="single"/>
        <color theme="10"/>
      </rPr>
      <t>https://www.tiktok.com/@giadungtienich.23/video/7680600542367714578?shop_id=7496242113276513249&amp;shop_region=VN</t>
    </r>
  </si>
  <si>
    <t/>
    <r>
      <rPr>
        <u val="single"/>
        <color theme="10"/>
      </rPr>
      <t>https://www.tiktok.com/@giadungtienich.23/video/7680600309613202695?shop_id=7496242113276513249&amp;shop_region=VN</t>
    </r>
  </si>
  <si>
    <t/>
    <r>
      <rPr>
        <u val="single"/>
        <color theme="10"/>
      </rPr>
      <t>https://www.tiktok.com/@giadungtienich.23/video/7680599664776711442?shop_region=VN&amp;shop_id=7496242113276513249</t>
    </r>
  </si>
  <si>
    <t/>
    <r>
      <rPr>
        <u val="single"/>
        <color theme="10"/>
      </rPr>
      <t>https://www.tiktok.com/@1999linhha24/video/7680747833489919240?shop_id=7496242113276513249&amp;shop_region=VN</t>
    </r>
  </si>
  <si>
    <t/>
    <r>
      <rPr>
        <u val="single"/>
        <color theme="10"/>
      </rPr>
      <t>https://www.tiktok.com/@giadungtienich.23/video/7680755933760326930?shop_id=7496242113276513249&amp;shop_region=VN</t>
    </r>
  </si>
  <si>
    <t/>
    <r>
      <rPr>
        <u val="single"/>
        <color theme="10"/>
      </rPr>
      <t>https://www.tiktok.com/@giadungtienich.23/video/7680756122843827474?shop_region=VN&amp;shop_id=7496242113276513249</t>
    </r>
  </si>
  <si>
    <t/>
    <r>
      <rPr>
        <u val="single"/>
        <color theme="10"/>
      </rPr>
      <t>https://www.tiktok.com/@colanreview/video/7680835723792026901?shop_region=VN&amp;shop_id=7496242113276513249</t>
    </r>
  </si>
  <si>
    <t xml:space="preserve">lanhlungvoitraidep</t>
  </si>
  <si>
    <t/>
    <r>
      <rPr>
        <u val="single"/>
        <color theme="10"/>
      </rPr>
      <t>https://www.tiktok.com/@lanhlungvoitraidep/video/7680848750432095506?shop_region=VN&amp;shop_id=7496242113276513249</t>
    </r>
  </si>
  <si>
    <t/>
    <r>
      <rPr>
        <u val="single"/>
        <color theme="10"/>
      </rPr>
      <t>https://www.tiktok.com/@thuthao799/video/7680916340349226260?shop_region=VN&amp;shop_id=7496242113276513249</t>
    </r>
  </si>
  <si>
    <t/>
    <r>
      <rPr>
        <u val="single"/>
        <color theme="10"/>
      </rPr>
      <t>https://www.tiktok.com/@0_t.l/video/7680947872971361557?shop_region=VN&amp;shop_id=7496242113276513249</t>
    </r>
  </si>
  <si>
    <t xml:space="preserve">munnn923</t>
  </si>
  <si>
    <t/>
    <r>
      <rPr>
        <u val="single"/>
        <color theme="10"/>
      </rPr>
      <t>https://www.tiktok.com/@munnn923/video/7680957371723648276?shop_region=VN&amp;shop_id=7496242113276513249</t>
    </r>
  </si>
  <si>
    <t/>
    <r>
      <rPr>
        <u val="single"/>
        <color theme="10"/>
      </rPr>
      <t>https://www.tiktok.com/@maymayreview3/video/7680973248250563847?shop_region=VN&amp;shop_id=7496242113276513249</t>
    </r>
  </si>
  <si>
    <t xml:space="preserve">phucan_riviu</t>
  </si>
  <si>
    <t/>
    <r>
      <rPr>
        <u val="single"/>
        <color theme="10"/>
      </rPr>
      <t>https://www.tiktok.com/@phucan_riviu/video/7681071847949077781?shop_region=VN&amp;shop_id=7496242113276513249</t>
    </r>
  </si>
  <si>
    <t xml:space="preserve">thingoc_1108</t>
  </si>
  <si>
    <t/>
    <r>
      <rPr>
        <u val="single"/>
        <color theme="10"/>
      </rPr>
      <t>https://www.tiktok.com/@thingoc_1108/video/7681122704442903826?shop_region=VN&amp;shop_id=7496242113276513249</t>
    </r>
  </si>
  <si>
    <t xml:space="preserve">quynhmooon_1195</t>
  </si>
  <si>
    <t/>
    <r>
      <rPr>
        <u val="single"/>
        <color theme="10"/>
      </rPr>
      <t>https://www.tiktok.com/@quynhmooon_1195/video/7681152817624550672?shop_region=VN&amp;shop_id=7496242113276513249</t>
    </r>
  </si>
  <si>
    <t xml:space="preserve">hlinh_19</t>
  </si>
  <si>
    <t/>
    <r>
      <rPr>
        <u val="single"/>
        <color theme="10"/>
      </rPr>
      <t>https://www.tiktok.com/@hlinh_19/video/7681152787647827220?shop_region=VN&amp;shop_id=7496242113276513249</t>
    </r>
  </si>
  <si>
    <t/>
    <r>
      <rPr>
        <u val="single"/>
        <color theme="10"/>
      </rPr>
      <t>https://www.tiktok.com/@muoi28999/video/7681180240269298951?shop_id=7496242113276513249&amp;shop_region=VN</t>
    </r>
  </si>
  <si>
    <t/>
    <r>
      <rPr>
        <u val="single"/>
        <color theme="10"/>
      </rPr>
      <t>https://www.tiktok.com/@thuthao799/video/7681195609138679060?shop_id=7496242113276513249&amp;shop_region=VN</t>
    </r>
  </si>
  <si>
    <t/>
    <r>
      <rPr>
        <u val="single"/>
        <color theme="10"/>
      </rPr>
      <t>https://www.tiktok.com/@oanhoanh.30/video/7681221286697241876?shop_id=7496242113276513249&amp;shop_region=VN</t>
    </r>
  </si>
  <si>
    <t/>
    <r>
      <rPr>
        <u val="single"/>
        <color theme="10"/>
      </rPr>
      <t>https://www.tiktok.com/@giadungtienich.23/video/7681267823116651784?shop_id=7496242113276513249&amp;shop_region=VN</t>
    </r>
  </si>
  <si>
    <t/>
    <r>
      <rPr>
        <u val="single"/>
        <color theme="10"/>
      </rPr>
      <t>https://www.tiktok.com/@giadungtienich.23/video/7681267975181159698?shop_id=7496242113276513249&amp;shop_region=VN</t>
    </r>
  </si>
  <si>
    <t/>
    <r>
      <rPr>
        <u val="single"/>
        <color theme="10"/>
      </rPr>
      <t>https://www.tiktok.com/@giadungtienich.23/video/7681268188570569992?shop_id=7496242113276513249&amp;shop_region=VN</t>
    </r>
  </si>
  <si>
    <t/>
    <r>
      <rPr>
        <u val="single"/>
        <color theme="10"/>
      </rPr>
      <t>https://www.tiktok.com/@giadungtienich.23/video/7681268327800409351?shop_id=7496242113276513249&amp;shop_region=VN</t>
    </r>
  </si>
  <si>
    <t/>
    <r>
      <rPr>
        <u val="single"/>
        <color theme="10"/>
      </rPr>
      <t>https://www.tiktok.com/@muoi28999/video/7681288407565225223?shop_region=VN&amp;shop_id=7496242113276513249</t>
    </r>
  </si>
  <si>
    <t xml:space="preserve">mymotmy</t>
  </si>
  <si>
    <t/>
    <r>
      <rPr>
        <u val="single"/>
        <color theme="10"/>
      </rPr>
      <t>https://www.tiktok.com/@mymotmy/video/7681583060814499079?shop_region=VN&amp;shop_id=7496242113276513249</t>
    </r>
  </si>
  <si>
    <t/>
    <r>
      <rPr>
        <u val="single"/>
        <color theme="10"/>
      </rPr>
      <t>https://www.tiktok.com/@thuthao799/video/7681638886354816277?shop_region=VN&amp;shop_id=7496242113276513249</t>
    </r>
  </si>
  <si>
    <t xml:space="preserve">kimanhrivew</t>
  </si>
  <si>
    <t/>
    <r>
      <rPr>
        <u val="single"/>
        <color theme="10"/>
      </rPr>
      <t>https://www.tiktok.com/@kimanhrivew/video/7682053924336979221?shop_region=VN&amp;shop_id=7496242113276513249</t>
    </r>
  </si>
  <si>
    <t xml:space="preserve">Tháng 8</t>
  </si>
  <si>
    <t xml:space="preserve">tuilayenlai</t>
  </si>
  <si>
    <t xml:space="preserve">12% - ads 7%</t>
  </si>
  <si>
    <t xml:space="preserve">Video</t>
  </si>
  <si>
    <t xml:space="preserve">Combo Gội Xả </t>
  </si>
  <si>
    <t xml:space="preserve"> Đã Duyệt mẫu</t>
  </si>
  <si>
    <t xml:space="preserve">tranmee.2012</t>
  </si>
  <si>
    <t xml:space="preserve">coca.9194</t>
  </si>
  <si>
    <t xml:space="preserve">gocnhatrang95</t>
  </si>
  <si>
    <t xml:space="preserve">0914/314/934️⃣</t>
  </si>
  <si>
    <t xml:space="preserve">phuquocanh181093</t>
  </si>
  <si>
    <t xml:space="preserve">096232-65-07</t>
  </si>
  <si>
    <t xml:space="preserve">phuongmaxi91</t>
  </si>
  <si>
    <t xml:space="preserve">ducvietbe__</t>
  </si>
  <si>
    <t xml:space="preserve">84 32 6044333</t>
  </si>
  <si>
    <t xml:space="preserve">dungreview3</t>
  </si>
  <si>
    <t xml:space="preserve">vietbinhnguyen1999</t>
  </si>
  <si>
    <t xml:space="preserve">begauxinchao93</t>
  </si>
  <si>
    <t xml:space="preserve">Đã gửi Brief</t>
  </si>
  <si>
    <t xml:space="preserve">Dung 0393038526 , nhà Chinh Thành - Châu Lỗ - Xuân Cẩm - Bắc Ninh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</si>
</sst>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0"/>
    <numFmt numFmtId="165" formatCode="dd-mm-yyyy"/>
    <numFmt numFmtId="166" formatCode="m/d/yyyy"/>
    <numFmt numFmtId="167" formatCode="yyyy/m/d"/>
    <numFmt numFmtId="168" formatCode="0%"/>
    <numFmt numFmtId="169" formatCode="m/d/yyyy"/>
    <numFmt numFmtId="170" formatCode="General"/>
    <numFmt numFmtId="171" formatCode="m/d/yyyy"/>
    <numFmt numFmtId="172" formatCode="dd-mm-yyyy"/>
    <numFmt numFmtId="173" formatCode="yyyy/m/d"/>
  </numFmts>
  <fonts count="10">
    <font>
      <sz val="12"/>
      <color theme="1"/>
      <name val="Calibri"/>
      <family val="2"/>
      <scheme val="minor"/>
    </font>
    <font>
      <sz val="10"/>
      <color rgb="FF000000"/>
      <name val="Calibri"/>
      <family val="2"/>
      <scheme val="minor"/>
    </font>
    <font>
      <sz val="10"/>
      <color rgb="FF000000"/>
      <name val="Calibri"/>
      <family val="2"/>
      <scheme val="minor"/>
    </font>
    <font>
      <b val="true"/>
      <sz val="10"/>
      <color rgb="FF000000"/>
      <name val="Calibri"/>
      <family val="2"/>
      <scheme val="minor"/>
    </font>
    <font>
      <b val="true"/>
      <sz val="10"/>
      <color rgb="FF000000"/>
      <name val="Arial"/>
      <family val="2"/>
    </font>
    <font>
      <sz val="10"/>
      <color rgb="FF000000"/>
      <name val="Arial"/>
      <family val="2"/>
    </font>
    <font>
      <sz val="10"/>
      <color rgb="FF1F2329"/>
      <name val="Arial"/>
      <family val="2"/>
    </font>
    <font>
      <u val="single"/>
      <sz val="10"/>
      <color rgb="FF1F2329"/>
      <name val="Arial"/>
      <family val="2"/>
    </font>
    <font>
      <sz val="10"/>
      <color rgb="FF434343"/>
      <name val="Roboto"/>
      <family val="2"/>
    </font>
    <font>
      <sz val="11"/>
      <color rgb="FF171718"/>
      <name val="TikTok Font"/>
      <family val="2"/>
    </font>
  </fonts>
  <fills count="13">
    <fill>
      <patternFill patternType="none">
        <fgColor/>
        <bgColor/>
      </patternFill>
    </fill>
    <fill>
      <patternFill patternType="gray125">
        <fgColor/>
        <bgColor/>
      </patternFill>
    </fill>
    <fill>
      <patternFill patternType="solid">
        <fgColor rgb="FFD5F6F2"/>
        <bgColor/>
      </patternFill>
    </fill>
    <fill>
      <patternFill patternType="solid">
        <fgColor rgb="FFFFFFFF"/>
        <bgColor/>
      </patternFill>
    </fill>
    <fill>
      <patternFill patternType="solid">
        <fgColor rgb="FFFFF258"/>
        <bgColor/>
      </patternFill>
    </fill>
    <fill>
      <patternFill patternType="solid">
        <fgColor rgb="FFFDDDEF"/>
        <bgColor/>
      </patternFill>
    </fill>
    <fill>
      <patternFill patternType="solid">
        <fgColor rgb="FFFFFFFF"/>
        <bgColor/>
      </patternFill>
    </fill>
    <fill>
      <patternFill patternType="solid">
        <fgColor rgb="FFD5F6F2"/>
        <bgColor/>
      </patternFill>
    </fill>
    <fill>
      <patternFill patternType="solid">
        <fgColor rgb="FFFFFFFF"/>
        <bgColor/>
      </patternFill>
    </fill>
    <fill>
      <patternFill patternType="solid">
        <fgColor rgb="FFF1F1F1"/>
        <bgColor/>
      </patternFill>
    </fill>
    <fill>
      <patternFill patternType="solid">
        <fgColor rgb="FFFFFFFF"/>
        <bgColor/>
      </patternFill>
    </fill>
    <fill>
      <patternFill patternType="solid">
        <fgColor rgb="FFFFFFFF"/>
        <bgColor/>
      </patternFill>
    </fill>
    <fill>
      <patternFill patternType="solid">
        <fgColor rgb="FFB3D600"/>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61">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false" applyProtection="false" borderId="0" fillId="2" fontId="3" numFmtId="0" xfId="0">
      <alignment horizontal="center" vertical="center" wrapText="true"/>
    </xf>
    <xf applyAlignment="true" applyBorder="false" applyFill="true" applyFont="true" applyNumberFormat="false" applyProtection="false" borderId="0" fillId="2" fontId="4" numFmtId="0" xfId="0">
      <alignment horizontal="center" vertical="center" wrapText="true"/>
    </xf>
    <xf applyAlignment="true" applyBorder="false" applyFill="true" applyFont="true" applyNumberFormat="false" applyProtection="false" borderId="0" fillId="2" fontId="4" numFmtId="0" xfId="0">
      <alignment horizontal="center" vertical="center" wrapText="true"/>
    </xf>
    <xf applyAlignment="true" applyBorder="false" applyFill="true" applyFont="true" applyNumberFormat="true" applyProtection="false" borderId="0" fillId="2" fontId="4" numFmtId="164" xfId="0">
      <alignment horizontal="center" vertical="center" wrapText="true"/>
    </xf>
    <xf applyAlignment="true" applyBorder="false" applyFill="true" applyFont="true" applyNumberFormat="true" applyProtection="false" borderId="0" fillId="2" fontId="4" numFmtId="165" xfId="0">
      <alignment horizontal="center" vertical="center"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true" applyProtection="false" borderId="0" fillId="0" fontId="6" numFmtId="166"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3" fontId="7"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true" applyProtection="false" borderId="0" fillId="0" fontId="5" numFmtId="165" xfId="0">
      <alignment horizontal="left" vertical="center"/>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true" applyProtection="false" borderId="0" fillId="0" fontId="5" numFmtId="168" xfId="0">
      <alignment vertical="center" wrapText="true"/>
    </xf>
    <xf applyAlignment="true" applyBorder="false" applyFill="false" applyFont="true" applyNumberFormat="false" applyProtection="false" borderId="0" fillId="0" fontId="8" numFmtId="0" xfId="0">
      <alignment vertical="center" wrapText="true"/>
    </xf>
    <xf applyAlignment="true" applyBorder="false" applyFill="true" applyFont="true" applyNumberFormat="false" applyProtection="false" borderId="0" fillId="4" fontId="5" numFmtId="0" xfId="0">
      <alignment vertical="center"/>
    </xf>
    <xf applyAlignment="true" applyBorder="false" applyFill="false" applyFont="true" applyNumberFormat="false" applyProtection="false" borderId="0" fillId="0" fontId="6" numFmtId="0" xfId="0">
      <alignment vertical="center"/>
    </xf>
    <xf applyAlignment="true" applyBorder="false" applyFill="true" applyFont="true" applyNumberFormat="false" applyProtection="false" borderId="0" fillId="5" fontId="1" numFmtId="0" xfId="0">
      <alignment vertical="center"/>
    </xf>
    <xf applyAlignment="true" applyBorder="false" applyFill="true" applyFont="true" applyNumberFormat="false" applyProtection="false" borderId="0" fillId="5" fontId="7" numFmtId="0" xfId="0">
      <alignment vertical="center"/>
    </xf>
    <xf applyAlignment="true" applyBorder="false" applyFill="true" applyFont="true" applyNumberFormat="false" applyProtection="false" borderId="0" fillId="5" fontId="9" numFmtId="0" xfId="0">
      <alignment horizontal="left" vertical="center" wrapText="true"/>
    </xf>
    <xf applyAlignment="true" applyBorder="false" applyFill="true" applyFont="true" applyNumberFormat="false" applyProtection="false" borderId="0" fillId="6" fontId="5" numFmtId="0" xfId="0">
      <alignment vertical="center"/>
    </xf>
    <xf applyAlignment="true" applyBorder="false" applyFill="false" applyFont="true" applyNumberFormat="true" applyProtection="false" borderId="0" fillId="0" fontId="1" numFmtId="166"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7" fontId="4" numFmtId="0" xfId="0">
      <alignment horizontal="center"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true" applyProtection="false" borderId="0" fillId="8" fontId="1" numFmtId="169"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170" xfId="0">
      <alignment vertical="center"/>
    </xf>
    <xf applyAlignment="true" applyBorder="false" applyFill="false" applyFont="true" applyNumberFormat="false" applyProtection="false" borderId="0" fillId="0" fontId="5" numFmtId="0" xfId="0">
      <alignment horizontal="left" vertical="center"/>
    </xf>
    <xf applyAlignment="true" applyBorder="false" applyFill="false" applyFont="true" applyNumberFormat="false" applyProtection="false" borderId="0" fillId="0" fontId="1" numFmtId="0" xfId="0">
      <alignment vertical="center"/>
    </xf>
    <xf applyAlignment="true" applyBorder="false" applyFill="true" applyFont="true" applyNumberFormat="false" applyProtection="false" borderId="0" fillId="8" fontId="1" numFmtId="0" xfId="0">
      <alignment vertical="center"/>
    </xf>
    <xf applyAlignment="true" applyBorder="false" applyFill="true" applyFont="true" applyNumberFormat="false" applyProtection="false" borderId="0" fillId="8" fontId="1" numFmtId="0" xfId="0">
      <alignment vertical="center"/>
    </xf>
    <xf applyAlignment="true" applyBorder="false" applyFill="true" applyFont="true" applyNumberFormat="true" applyProtection="false" borderId="0" fillId="8" fontId="2" numFmtId="170" xfId="0">
      <alignment vertical="center"/>
    </xf>
    <xf applyAlignment="true" applyBorder="false" applyFill="true" applyFont="true" applyNumberFormat="false" applyProtection="false" borderId="0" fillId="9" fontId="9" numFmtId="0" xfId="0">
      <alignment horizontal="left" vertical="center" wrapText="true"/>
    </xf>
    <xf applyAlignment="true" applyBorder="false" applyFill="true" applyFont="true" applyNumberFormat="false" applyProtection="false" borderId="0" fillId="10" fontId="9" numFmtId="0" xfId="0">
      <alignment horizontal="left" vertical="center" wrapText="true"/>
    </xf>
    <xf applyAlignment="true" applyBorder="false" applyFill="true" applyFont="true" applyNumberFormat="false" applyProtection="false" borderId="0" fillId="9" fontId="9" numFmtId="0" xfId="0">
      <alignment horizontal="left" vertical="center" wrapText="true"/>
    </xf>
    <xf applyAlignment="true" applyBorder="false" applyFill="false" applyFont="true" applyNumberFormat="false" applyProtection="false" borderId="0" fillId="0" fontId="1" numFmtId="0" xfId="0">
      <alignment vertical="center"/>
    </xf>
    <xf applyAlignment="true" applyBorder="false" applyFill="true" applyFont="true" applyNumberFormat="false" applyProtection="false" borderId="0" fillId="10" fontId="9" numFmtId="0" xfId="0">
      <alignment horizontal="left" vertical="center" wrapText="true"/>
    </xf>
    <xf applyAlignment="true" applyBorder="false" applyFill="true" applyFont="true" applyNumberFormat="true" applyProtection="false" borderId="0" fillId="8" fontId="1" numFmtId="169"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 numFmtId="0" xfId="0">
      <alignment vertical="center"/>
    </xf>
    <xf applyAlignment="true" applyBorder="false" applyFill="true" applyFont="true" applyNumberFormat="false" applyProtection="false" borderId="0" fillId="9" fontId="9" numFmtId="0" xfId="0">
      <alignment horizontal="lef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true" applyProtection="false" borderId="0" fillId="0" fontId="6" numFmtId="171" xfId="0">
      <alignment vertical="center"/>
    </xf>
    <xf applyAlignment="true" applyBorder="false" applyFill="true" applyFont="true" applyNumberFormat="false" applyProtection="false" borderId="0" fillId="11" fontId="7"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true" applyProtection="false" borderId="0" fillId="0" fontId="5" numFmtId="172"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1" numFmtId="0" xfId="0">
      <alignment vertical="center"/>
    </xf>
    <xf applyAlignment="true" applyBorder="false" applyFill="true" applyFont="true" applyNumberFormat="false" applyProtection="false" borderId="0" fillId="12" fontId="1" numFmtId="0" xfId="0">
      <alignment vertical="center"/>
    </xf>
  </cellXfs>
  <cellStyles count="1">
    <cellStyle builtinId="0" name="Normal" xfId="0"/>
  </cellStyles>
  <dxfs count="4">
    <dxf>
      <fill>
        <patternFill patternType="solid">
          <fgColor/>
          <bgColor rgb="FF64E8D6"/>
        </patternFill>
      </fill>
    </dxf>
    <dxf>
      <fill>
        <patternFill patternType="solid">
          <fgColor/>
          <bgColor rgb="FFF01D94"/>
        </patternFill>
      </fill>
    </dxf>
    <dxf>
      <fill>
        <patternFill patternType="solid">
          <fgColor/>
          <bgColor rgb="FFFAF1D1"/>
        </patternFill>
      </fill>
    </dxf>
    <dxf>
      <fill>
        <patternFill patternType="solid">
          <fgColor/>
          <bgColor rgb="FFFBBFBC"/>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shop.tiktok.com/view/product/1736755929756043233?region=VN&amp;locale=vi-VN&amp;source=seller_creator_im&amp;shop_region=VN&amp;shop_id=7496242113276513249" Type="http://schemas.openxmlformats.org/officeDocument/2006/relationships/hyperlink" TargetMode="External"></Relationship><Relationship Id="rId2" Target="https://shop.tiktok.com/view/product/1735655317619771361?region=VN&amp;locale=vi-VN&amp;source=seller_creator_im&amp;shop_region=VN&amp;shop_id=7496242113276513249" Type="http://schemas.openxmlformats.org/officeDocument/2006/relationships/hyperlink" TargetMode="External"></Relationship><Relationship Id="rId3" Target="https://shop.tiktok.com/view/product/1735655317619771361?region=VN&amp;locale=vi-VN&amp;source=seller_creator_im&amp;shop_region=VN&amp;shop_id=7496242113276513249" Type="http://schemas.openxmlformats.org/officeDocument/2006/relationships/hyperlink" TargetMode="External"></Relationship><Relationship Id="rId4" Target="https://www.tiktok.com/@ngahugo238/video/7661530874072124690?shop_id=7496242113276513249&amp;shop_region=VN" Type="http://schemas.openxmlformats.org/officeDocument/2006/relationships/hyperlink" TargetMode="External"></Relationship><Relationship Id="rId5" Target="https://teambooking.jp.larksuite.com/slides/LYRKsOjlBl6c3udsYcejlsijpSe" Type="http://schemas.openxmlformats.org/officeDocument/2006/relationships/hyperlink" TargetMode="External"></Relationship><Relationship Id="rId6" Target="https://teambooking.jp.larksuite.com/docx/Z5wZdIL9cohVBWxs4tpj5ihepjd" Type="http://schemas.openxmlformats.org/officeDocument/2006/relationships/hyperlink" TargetMode="External"></Relationship></Relationships>
</file>

<file path=xl/worksheets/_rels/sheet4.xml.rels><?xml version="1.0" encoding="UTF-8" standalone="yes"?>
<Relationships xmlns="http://schemas.openxmlformats.org/package/2006/relationships"><Relationship Id="rId1" Target="https://www.tiktok.com/@hien.daily9/video/7676780256522505479?shop_region=VN&amp;shop_id=7496242113276513249" Type="http://schemas.openxmlformats.org/officeDocument/2006/relationships/hyperlink" TargetMode="External"></Relationship><Relationship Id="rId2" Target="https://www.tiktok.com/@lan.hng.nguyn07/video/7678944339799969044?shop_region=VN&amp;shop_id=7496242113276513249" Type="http://schemas.openxmlformats.org/officeDocument/2006/relationships/hyperlink" TargetMode="External"></Relationship><Relationship Id="rId3" Target="http://tiktok.com/@thuthao799/video/7680126910759750933?shop_region=VN&amp;shop_id=7496242113276513249" Type="http://schemas.openxmlformats.org/officeDocument/2006/relationships/hyperlink" TargetMode="External"></Relationship><Relationship Id="rId4" Target="https://www.tiktok.com/@giadungtienich.23/video/7681267975181159698?shop_id=7496242113276513249&amp;shop_region=VN" Type="http://schemas.openxmlformats.org/officeDocument/2006/relationships/hyperlink" TargetMode="External"></Relationship><Relationship Id="rId5" Target="https://www.tiktok.com/@maicuccc/video/7677600918673607957?shop_id=7496242113276513249&amp;shop_region=VN" Type="http://schemas.openxmlformats.org/officeDocument/2006/relationships/hyperlink" TargetMode="External"></Relationship><Relationship Id="rId6" Target="https://www.tiktok.com/@vihashop/video/7677232035299151125?shop_region=VN&amp;shop_id=7496242113276513249" Type="http://schemas.openxmlformats.org/officeDocument/2006/relationships/hyperlink" TargetMode="External"></Relationship><Relationship Id="rId7" Target="https://www.tiktok.com/@yphuong.m52/video/7678892499833752853?shop_id=7496242113276513249&amp;shop_region=VN" Type="http://schemas.openxmlformats.org/officeDocument/2006/relationships/hyperlink" TargetMode="External"></Relationship><Relationship Id="rId8" Target="https://www.tiktok.com/@colanreview/video/7680180551117982997?shop_region=VN&amp;shop_id=7496242113276513249" Type="http://schemas.openxmlformats.org/officeDocument/2006/relationships/hyperlink" TargetMode="External"></Relationship><Relationship Id="rId9" Target="https://www.tiktok.com/@giadungtienich.23/video/7681268188570569992?shop_id=7496242113276513249&amp;shop_region=VN" Type="http://schemas.openxmlformats.org/officeDocument/2006/relationships/hyperlink" TargetMode="External"></Relationship><Relationship Id="rId10" Target="https://www.tiktok.com/@me.be.gao.review.2405/video/7675239767017032978?shop_id=7496242113276513249&amp;shop_region=VN" Type="http://schemas.openxmlformats.org/officeDocument/2006/relationships/hyperlink" TargetMode="External"></Relationship><Relationship Id="rId11" Target="https://www.tiktok.com/@ntnx.23104/video/7677603541627849991?_r=1&amp;_t=ZS-99AeSBKBse1" Type="http://schemas.openxmlformats.org/officeDocument/2006/relationships/hyperlink" TargetMode="External"></Relationship><Relationship Id="rId12" Target="https://www.tiktok.com/@yphuong.m52/video/7678895832396991764?shop_id=7496242113276513249&amp;shop_region=VN" Type="http://schemas.openxmlformats.org/officeDocument/2006/relationships/hyperlink" TargetMode="External"></Relationship><Relationship Id="rId13" Target="https://www.tiktok.com/@thanh.hng.shop4/video/7680119965436972306?shop_id=7496242113276513249&amp;shop_region=VN" Type="http://schemas.openxmlformats.org/officeDocument/2006/relationships/hyperlink" TargetMode="External"></Relationship><Relationship Id="rId14" Target="https://www.tiktok.com/@munnn923/video/7680957371723648276?shop_region=VN&amp;shop_id=7496242113276513249" Type="http://schemas.openxmlformats.org/officeDocument/2006/relationships/hyperlink" TargetMode="External"></Relationship><Relationship Id="rId15" Target="https://www.tiktok.com/@maicuccc/video/7676674655138221333?shop_id=7496242113276513249&amp;shop_region=VN" Type="http://schemas.openxmlformats.org/officeDocument/2006/relationships/hyperlink" TargetMode="External"></Relationship><Relationship Id="rId16" Target="https://www.tiktok.com/@vangiadung19/video/7676885795801697556?shop_region=VN&amp;shop_id=7496242113276513249" Type="http://schemas.openxmlformats.org/officeDocument/2006/relationships/hyperlink" TargetMode="External"></Relationship><Relationship Id="rId17" Target="https://www.tiktok.com/@thuthao799/video/7678174974422715668?shop_region=VN&amp;shop_id=7496242113276513249" Type="http://schemas.openxmlformats.org/officeDocument/2006/relationships/hyperlink" TargetMode="External"></Relationship><Relationship Id="rId18" Target="https://www.tiktok.com/@thanh.hng.shop4/video/7680125318941789447?shop_id=7496242113276513249&amp;shop_region=VN" Type="http://schemas.openxmlformats.org/officeDocument/2006/relationships/hyperlink" TargetMode="External"></Relationship><Relationship Id="rId19" Target="https://www.tiktok.com/@maymayreview3/video/7680973248250563847?shop_region=VN&amp;shop_id=7496242113276513249" Type="http://schemas.openxmlformats.org/officeDocument/2006/relationships/hyperlink" TargetMode="External"></Relationship><Relationship Id="rId20" Target="https://www.tiktok.com/@maicuccc/video/7677177781754645781?shop_id=7496242113276513249&amp;shop_region=VN" Type="http://schemas.openxmlformats.org/officeDocument/2006/relationships/hyperlink" TargetMode="External"></Relationship><Relationship Id="rId21" Target="https://www.tiktok.com/@vangiadung19/video/7676884796181630229?shop_region=VN&amp;shop_id=7496242113276513249" Type="http://schemas.openxmlformats.org/officeDocument/2006/relationships/hyperlink" TargetMode="External"></Relationship><Relationship Id="rId22" Target="https://www.tiktok.com/@nguyentien270895/video/7678197473810124052?shop_region=VN&amp;shop_id=7496242113276513249" Type="http://schemas.openxmlformats.org/officeDocument/2006/relationships/hyperlink" TargetMode="External"></Relationship><Relationship Id="rId23" Target="https://www.tiktok.com/@thuthao799/video/7679611625317371157?shop_region=VN&amp;shop_id=7496242113276513249" Type="http://schemas.openxmlformats.org/officeDocument/2006/relationships/hyperlink" TargetMode="External"></Relationship><Relationship Id="rId24" Target="https://www.tiktok.com/@thuthao799/video/7680916340349226260?shop_region=VN&amp;shop_id=7496242113276513249" Type="http://schemas.openxmlformats.org/officeDocument/2006/relationships/hyperlink" TargetMode="External"></Relationship><Relationship Id="rId25" Target="https://vt.tiktok.com/ZSVfxhvj7/" Type="http://schemas.openxmlformats.org/officeDocument/2006/relationships/hyperlink" TargetMode="External"></Relationship><Relationship Id="rId26" Target="https://www.tiktok.com/@muoi28999/video/7676287949436128519?shop_region=VN&amp;shop_id=7496242113276513249" Type="http://schemas.openxmlformats.org/officeDocument/2006/relationships/hyperlink" TargetMode="External"></Relationship><Relationship Id="rId27" Target="https://www.tiktok.com/@tinhtienty3944/video/7677921582693600532?shop_region=VN&amp;shop_id=7496242113276513249" Type="http://schemas.openxmlformats.org/officeDocument/2006/relationships/hyperlink" TargetMode="External"></Relationship><Relationship Id="rId28" Target="https://www.tiktok.com/@thuthao799/video/7679640583660670229?shop_region=VN&amp;shop_id=7496242113276513249" Type="http://schemas.openxmlformats.org/officeDocument/2006/relationships/hyperlink" TargetMode="External"></Relationship><Relationship Id="rId29" Target="https://www.tiktok.com/@0_t.l/video/7680947872971361557?shop_region=VN&amp;shop_id=7496242113276513249" Type="http://schemas.openxmlformats.org/officeDocument/2006/relationships/hyperlink" TargetMode="External"></Relationship><Relationship Id="rId30" Target="https://www.tiktok.com/@sendobo/video/7674963692521344276?shop_id=7496242113276513249&amp;shop_region=VN" Type="http://schemas.openxmlformats.org/officeDocument/2006/relationships/hyperlink" TargetMode="External"></Relationship><Relationship Id="rId31" Target="https://www.tiktok.com/@muoi28999/video/7676288899072806162?shop_id=7496242113276513249&amp;shop_region=VN" Type="http://schemas.openxmlformats.org/officeDocument/2006/relationships/hyperlink" TargetMode="External"></Relationship><Relationship Id="rId32" Target="https://www.tiktok.com/@tinhtienty3944/video/7678142277134454036?shop_region=VN&amp;shop_id=7496242113276513249" Type="http://schemas.openxmlformats.org/officeDocument/2006/relationships/hyperlink" TargetMode="External"></Relationship><Relationship Id="rId33" Target="https://www.tiktok.com/@colanreview/video/7679483370782346517?shop_region=VN&amp;shop_id=7496242113276513249" Type="http://schemas.openxmlformats.org/officeDocument/2006/relationships/hyperlink" TargetMode="External"></Relationship><Relationship Id="rId34" Target="https://www.tiktok.com/@quynhmooon_1195/video/7681152817624550672?shop_region=VN&amp;shop_id=7496242113276513249" Type="http://schemas.openxmlformats.org/officeDocument/2006/relationships/hyperlink" TargetMode="External"></Relationship><Relationship Id="rId35" Target="https://www.tiktok.com/@loanthichriviu93/video/7675650502222253333?_r=1&amp;_t=ZS-992M63UdVBc" Type="http://schemas.openxmlformats.org/officeDocument/2006/relationships/hyperlink" TargetMode="External"></Relationship><Relationship Id="rId36" Target="https://www.tiktok.com/@loanthichriviu93/video/7675650502222253333?_r=1&amp;_t=ZS-992M63UdVBc" Type="http://schemas.openxmlformats.org/officeDocument/2006/relationships/hyperlink" TargetMode="External"></Relationship><Relationship Id="rId37" Target="https://www.tiktok.com/@phanh.lee_2001/video/7675786838825028872?shop_region=VN&amp;shop_id=7496242113276513249" Type="http://schemas.openxmlformats.org/officeDocument/2006/relationships/hyperlink" TargetMode="External"></Relationship><Relationship Id="rId38" Target="https://www.tiktok.com/@moon.nh2712/video/7678311671336537362?shop_region=VN&amp;shop_id=7496242113276513249" Type="http://schemas.openxmlformats.org/officeDocument/2006/relationships/hyperlink" TargetMode="External"></Relationship><Relationship Id="rId39" Target="https://www.tiktok.com/@mebimreview77/video/7679501921090063637?shop_id=7496242113276513249&amp;shop_region=VN" Type="http://schemas.openxmlformats.org/officeDocument/2006/relationships/hyperlink" TargetMode="External"></Relationship><Relationship Id="rId40" Target="https://www.tiktok.com/@hlinh_19/video/7681152787647827220?shop_region=VN&amp;shop_id=7496242113276513249" Type="http://schemas.openxmlformats.org/officeDocument/2006/relationships/hyperlink" TargetMode="External"></Relationship><Relationship Id="rId41" Target="https://www.tiktok.com/@loanthichriviu93/video/7675619573680557332?_r=1&amp;_t=ZS-992M70DuJb3" Type="http://schemas.openxmlformats.org/officeDocument/2006/relationships/hyperlink" TargetMode="External"></Relationship><Relationship Id="rId42" Target="https://www.tiktok.com/@phanh.lee_2001/video/7675788769207012616?shop_region=VN&amp;shop_id=7496242113276513249" Type="http://schemas.openxmlformats.org/officeDocument/2006/relationships/hyperlink" TargetMode="External"></Relationship><Relationship Id="rId43" Target="https://www.tiktok.com/@minmacarong/video/7678335635882511624?shop_region=VN&amp;shop_id=7496242113276513249" Type="http://schemas.openxmlformats.org/officeDocument/2006/relationships/hyperlink" TargetMode="External"></Relationship><Relationship Id="rId44" Target="https://www.tiktok.com/@giadungtienich.23/video/7679751311939603719?shop_id=7496242113276513249&amp;shop_region=VN" Type="http://schemas.openxmlformats.org/officeDocument/2006/relationships/hyperlink" TargetMode="External"></Relationship><Relationship Id="rId45" Target="https://www.tiktok.com/@phucan_riviu/video/7681071847949077781?shop_region=VN&amp;shop_id=7496242113276513249" Type="http://schemas.openxmlformats.org/officeDocument/2006/relationships/hyperlink" TargetMode="External"></Relationship><Relationship Id="rId46" Target="https://www.tiktok.com/@mebimreview77/video/7674630730298838293?_r=1&amp;_t=ZS-998ofvsPEXa" Type="http://schemas.openxmlformats.org/officeDocument/2006/relationships/hyperlink" TargetMode="External"></Relationship><Relationship Id="rId47" Target="https://www.tiktok.com/@peachypick_/video/7676410034485726484?shop_region=VN&amp;shop_id=7496242113276513249" Type="http://schemas.openxmlformats.org/officeDocument/2006/relationships/hyperlink" TargetMode="External"></Relationship><Relationship Id="rId48" Target="https://www.tiktok.com/@b.tin.y.n/video/7678204918347451668?shop_region=VN&amp;shop_id=7496242113276513249" Type="http://schemas.openxmlformats.org/officeDocument/2006/relationships/hyperlink" TargetMode="External"></Relationship><Relationship Id="rId49" Target="https://www.tiktok.com/@giadungtienich.23/video/7679750988365876498?shop_id=7496242113276513249&amp;shop_region=VN" Type="http://schemas.openxmlformats.org/officeDocument/2006/relationships/hyperlink" TargetMode="External"></Relationship><Relationship Id="rId50" Target="https://www.tiktok.com/@thingoc_1108/video/7681122704442903826?shop_region=VN&amp;shop_id=7496242113276513249" Type="http://schemas.openxmlformats.org/officeDocument/2006/relationships/hyperlink" TargetMode="External"></Relationship><Relationship Id="rId51" Target="https://www.tiktok.com/@lucafamilyreview/video/7677423946945383701?_r=1&amp;_t=ZS-998gwTlnKEP" Type="http://schemas.openxmlformats.org/officeDocument/2006/relationships/hyperlink" TargetMode="External"></Relationship><Relationship Id="rId52" Target="https://www.tiktok.com/@conlarioday.2412/video/7676531985229139220?shop_region=VN&amp;shop_id=7496242113276513249" Type="http://schemas.openxmlformats.org/officeDocument/2006/relationships/hyperlink" TargetMode="External"></Relationship><Relationship Id="rId53" Target="https://www.tiktok.com/@lan.hng.nguyn07/video/7678294915855518997?shop_region=VN&amp;shop_id=7496242113276513249" Type="http://schemas.openxmlformats.org/officeDocument/2006/relationships/hyperlink" TargetMode="External"></Relationship><Relationship Id="rId54" Target="https://www.tiktok.com/@giadungtienich.23/video/7679712276407946517?shop_region=VN&amp;shop_id=7496242113276513249" Type="http://schemas.openxmlformats.org/officeDocument/2006/relationships/hyperlink" TargetMode="External"></Relationship><Relationship Id="rId55" Target="https://www.tiktok.com/@giadungtienich.23/video/7680599664776711442?shop_region=VN&amp;shop_id=7496242113276513249" Type="http://schemas.openxmlformats.org/officeDocument/2006/relationships/hyperlink" TargetMode="External"></Relationship><Relationship Id="rId56" Target="https://sv.shopee.vn/share-video/aMJwY_XpCQBJuTBMAAAAAA==?c=share_web&amp;contentType=0&amp;fromShareLink=share-marker&amp;fromSource=copy_link&amp;jumpType=share&amp;myVideo=true&amp;pid=sv&amp;shareUserId=1278261577&amp;share_obj=video&amp;stm_medium=referral&amp;stm_source=rw&amp;uls_trackid=56fagu96003c" Type="http://schemas.openxmlformats.org/officeDocument/2006/relationships/hyperlink" TargetMode="External"></Relationship><Relationship Id="rId57" Target="https://www.tiktok.com/@.comnganga1/video/7676302641634364692?shop_region=VN&amp;shop_id=7496242113276513249" Type="http://schemas.openxmlformats.org/officeDocument/2006/relationships/hyperlink" TargetMode="External"></Relationship><Relationship Id="rId58" Target="https://www.tiktok.com/@tinhtienty3944/video/7677616319784684820?shop_region=VN&amp;shop_id=7496242113276513249" Type="http://schemas.openxmlformats.org/officeDocument/2006/relationships/hyperlink" TargetMode="External"></Relationship><Relationship Id="rId59" Target="https://www.tiktok.com/@giadungtienich.23/video/7679751143177702674?shop_id=7496242113276513249&amp;shop_region=VN" Type="http://schemas.openxmlformats.org/officeDocument/2006/relationships/hyperlink" TargetMode="External"></Relationship><Relationship Id="rId60" Target="https://www.tiktok.com/@1999linhha24/video/7680747833489919240?shop_id=7496242113276513249&amp;shop_region=VN" Type="http://schemas.openxmlformats.org/officeDocument/2006/relationships/hyperlink" TargetMode="External"></Relationship><Relationship Id="rId61" Target="https://www.tiktok.com/@mebimreview77/video/7676520296794361109?_r=1&amp;_t=ZS-998oc03Xldy" Type="http://schemas.openxmlformats.org/officeDocument/2006/relationships/hyperlink" TargetMode="External"></Relationship><Relationship Id="rId62" Target="https://www.tiktok.com/@1999linhha24/video/7676362894744767751?shop_region=VN&amp;shop_id=7496242113276513249" Type="http://schemas.openxmlformats.org/officeDocument/2006/relationships/hyperlink" TargetMode="External"></Relationship><Relationship Id="rId63" Target="https://www.tiktok.com/@callmexuefang/video/7677790095843380487?shop_region=VN&amp;shop_id=7496242113276513249" Type="http://schemas.openxmlformats.org/officeDocument/2006/relationships/hyperlink" TargetMode="External"></Relationship><Relationship Id="rId64" Target="https://www.tiktok.com/@yen68.68/video/7679488393243315474?shop_region=VN&amp;shop_id=7496242113276513249" Type="http://schemas.openxmlformats.org/officeDocument/2006/relationships/hyperlink" TargetMode="External"></Relationship><Relationship Id="rId65" Target="https://www.tiktok.com/@giadungtienich.23/video/7680600542367714578?shop_id=7496242113276513249&amp;shop_region=VN" Type="http://schemas.openxmlformats.org/officeDocument/2006/relationships/hyperlink" TargetMode="External"></Relationship><Relationship Id="rId66" Target="https://www.tiktok.com/@tho.review83/video/7676011525181689108?_r=1&amp;_t=ZS-992DMrkapHB" Type="http://schemas.openxmlformats.org/officeDocument/2006/relationships/hyperlink" TargetMode="External"></Relationship><Relationship Id="rId67" Target="https://www.tiktok.com/@ngocanh5699_/video/7676072744563248391?shop_region=VN&amp;shop_id=7496242113276513249" Type="http://schemas.openxmlformats.org/officeDocument/2006/relationships/hyperlink" TargetMode="External"></Relationship><Relationship Id="rId68" Target="https://www.tiktok.com/@tinhtienty3944/video/7677610871249472788?shop_region=VN&amp;shop_id=7496242113276513249" Type="http://schemas.openxmlformats.org/officeDocument/2006/relationships/hyperlink" TargetMode="External"></Relationship><Relationship Id="rId69" Target="https://www.tiktok.com/@yen68.68/video/7679487581720972552?shop_region=VN&amp;shop_id=7496242113276513249" Type="http://schemas.openxmlformats.org/officeDocument/2006/relationships/hyperlink" TargetMode="External"></Relationship><Relationship Id="rId70" Target="https://www.tiktok.com/@giadungtienich.23/video/7680600309613202695?shop_id=7496242113276513249&amp;shop_region=VN" Type="http://schemas.openxmlformats.org/officeDocument/2006/relationships/hyperlink" TargetMode="External"></Relationship><Relationship Id="rId71" Target="https://www.tiktok.com/@vangiadung19/video/7675534874316442900?_r=1&amp;_t=ZS-992IlDKsVG9" Type="http://schemas.openxmlformats.org/officeDocument/2006/relationships/hyperlink" TargetMode="External"></Relationship><Relationship Id="rId72" Target="https://www.tiktok.com/@maicuccc/video/7675896945856040212?shop_region=VN&amp;shop_id=7496242113276513249" Type="http://schemas.openxmlformats.org/officeDocument/2006/relationships/hyperlink" TargetMode="External"></Relationship><Relationship Id="rId73" Target="https://www.tiktok.com/@thuthao799/video/7677551500289264916?shop_id=7496242113276513249&amp;shop_region=VN" Type="http://schemas.openxmlformats.org/officeDocument/2006/relationships/hyperlink" TargetMode="External"></Relationship><Relationship Id="rId74" Target="https://www.tiktok.com/@colanreview/video/7679374358086700308?shop_region=VN&amp;shop_id=7496242113276513249" Type="http://schemas.openxmlformats.org/officeDocument/2006/relationships/hyperlink" TargetMode="External"></Relationship><Relationship Id="rId75" Target="https://www.tiktok.com/@colanreview/video/7680835723792026901?shop_region=VN&amp;shop_id=7496242113276513249" Type="http://schemas.openxmlformats.org/officeDocument/2006/relationships/hyperlink" TargetMode="External"></Relationship><Relationship Id="rId76" Target="https://vt.tiktok.com/ZSVDChVoW/" Type="http://schemas.openxmlformats.org/officeDocument/2006/relationships/hyperlink" TargetMode="External"></Relationship><Relationship Id="rId77" Target="https://www.tiktok.com/@thuthao799/video/7675951281143303445?shop_region=VN&amp;shop_id=7496242113276513249" Type="http://schemas.openxmlformats.org/officeDocument/2006/relationships/hyperlink" TargetMode="External"></Relationship><Relationship Id="rId78" Target="https://www.tiktok.com/@thuthao799/video/7675989548278631700?shop_region=VN&amp;shop_id=7496242113276513249" Type="http://schemas.openxmlformats.org/officeDocument/2006/relationships/hyperlink" TargetMode="External"></Relationship><Relationship Id="rId79" Target="https://www.tiktok.com/@maicuccc/video/7677910995083480340?shop_id=7496242113276513249&amp;shop_region=VN" Type="http://schemas.openxmlformats.org/officeDocument/2006/relationships/hyperlink" TargetMode="External"></Relationship><Relationship Id="rId80" Target="https://www.tiktok.com/@thuthao799/video/7679394429198798100?shop_region=VN&amp;shop_id=7496242113276513249" Type="http://schemas.openxmlformats.org/officeDocument/2006/relationships/hyperlink" TargetMode="External"></Relationship><Relationship Id="rId81" Target="https://www.tiktok.com/@lanhlungvoitraidep/video/7680848750432095506?shop_region=VN&amp;shop_id=7496242113276513249" Type="http://schemas.openxmlformats.org/officeDocument/2006/relationships/hyperlink" TargetMode="External"></Relationship><Relationship Id="rId82" Target="https://vt.tiktok.com/ZSVDCUDFt/" Type="http://schemas.openxmlformats.org/officeDocument/2006/relationships/hyperlink" TargetMode="External"></Relationship><Relationship Id="rId83" Target="https://www.tiktok.com/@oanhoanh.30/video/7675741660684406037?shop_region=VN&amp;shop_id=7496242113276513249" Type="http://schemas.openxmlformats.org/officeDocument/2006/relationships/hyperlink" TargetMode="External"></Relationship><Relationship Id="rId84" Target="https://www.tiktok.com/@maicuccc/video/7677897757209693460?shop_region=VN&amp;shop_id=7496242113276513249" Type="http://schemas.openxmlformats.org/officeDocument/2006/relationships/hyperlink" TargetMode="External"></Relationship><Relationship Id="rId85" Target="https://www.tiktok.com/@honhuycosmetic/video/7677842750770842888?_r=1&amp;_t=ZS-99KjnxwRb1E" Type="http://schemas.openxmlformats.org/officeDocument/2006/relationships/hyperlink" TargetMode="External"></Relationship><Relationship Id="rId86" Target="https://www.tiktok.com/@giadungtienich.23/video/7680755933760326930?shop_id=7496242113276513249&amp;shop_region=VN" Type="http://schemas.openxmlformats.org/officeDocument/2006/relationships/hyperlink" TargetMode="External"></Relationship><Relationship Id="rId87" Target="https://www.tiktok.com/@chanhchanhriziu/video/7674831340855921927?_r=1&amp;_t=ZS-992LZ1dZajc" Type="http://schemas.openxmlformats.org/officeDocument/2006/relationships/hyperlink" TargetMode="External"></Relationship><Relationship Id="rId88" Target="https://www.tiktok.com/@phanh.lee_2001/video/7675786335076060434?shop_id=7496242113276513249&amp;shop_region=VN" Type="http://schemas.openxmlformats.org/officeDocument/2006/relationships/hyperlink" TargetMode="External"></Relationship><Relationship Id="rId89" Target="https://www.tiktok.com/@tho.review83/video/7677858038270676245?shop_region=VN&amp;shop_id=7496242113276513249" Type="http://schemas.openxmlformats.org/officeDocument/2006/relationships/hyperlink" TargetMode="External"></Relationship><Relationship Id="rId90" Target="https://www.tiktok.com/@maymayreview3/video/7679485620061818130?shop_region=VN&amp;shop_id=7496242113276513249" Type="http://schemas.openxmlformats.org/officeDocument/2006/relationships/hyperlink" TargetMode="External"></Relationship><Relationship Id="rId91" Target="https://www.tiktok.com/@giadungtienich.23/video/7680756122843827474?shop_region=VN&amp;shop_id=7496242113276513249" Type="http://schemas.openxmlformats.org/officeDocument/2006/relationships/hyperlink" TargetMode="External"></Relationship><Relationship Id="rId92" Target="https://www.tiktok.com/@em.b.la.cung.thin/video/7675755018368093460?_r=1&amp;_t=ZS-9912XslcLtk" Type="http://schemas.openxmlformats.org/officeDocument/2006/relationships/hyperlink" TargetMode="External"></Relationship><Relationship Id="rId93" Target="https://www.tiktok.com/@undefined/video/7675895973364682005?shop_region=VN&amp;shop_id=7496242113276513249" Type="http://schemas.openxmlformats.org/officeDocument/2006/relationships/hyperlink" TargetMode="External"></Relationship><Relationship Id="rId94" Target="https://www.tiktok.com/@lan.hng.nguyn07/video/7677895702940290325?shop_id=7496242113276513249&amp;shop_region=VN" Type="http://schemas.openxmlformats.org/officeDocument/2006/relationships/hyperlink" TargetMode="External"></Relationship><Relationship Id="rId95" Target="https://www.tiktok.com/@yen68.68/video/7679486487490022663?shop_region=VN&amp;shop_id=7496242113276513249" Type="http://schemas.openxmlformats.org/officeDocument/2006/relationships/hyperlink" TargetMode="External"></Relationship><Relationship Id="rId96" Target="https://www.tiktok.com/@ngoc.tayninh/video/7680508198025006343?shop_id=7496242113276513249&amp;shop_region=VN" Type="http://schemas.openxmlformats.org/officeDocument/2006/relationships/hyperlink" TargetMode="External"></Relationship><Relationship Id="rId97" Target="https://www.tiktok.com/@vangiadung19/video/7675527765571112213?_r=1&amp;_t=ZS-992IoqqJNfZ" Type="http://schemas.openxmlformats.org/officeDocument/2006/relationships/hyperlink" TargetMode="External"></Relationship><Relationship Id="rId98" Target="https://www.tiktok.com/@maicuccc/video/7676111487441603860?shop_id=7496242113276513249&amp;shop_region=VN" Type="http://schemas.openxmlformats.org/officeDocument/2006/relationships/hyperlink" TargetMode="External"></Relationship><Relationship Id="rId99" Target="https://www.tiktok.com/@nguyentien270895/video/7677398014033513748?shop_region=VN&amp;shop_id=7496242113276513249" Type="http://schemas.openxmlformats.org/officeDocument/2006/relationships/hyperlink" TargetMode="External"></Relationship><Relationship Id="rId100" Target="https://www.tiktok.com/@.hip035/video/7679082892856691975?shop_region=VN&amp;shop_id=7496242113276513249" Type="http://schemas.openxmlformats.org/officeDocument/2006/relationships/hyperlink" TargetMode="External"></Relationship><Relationship Id="rId101" Target="https://www.tiktok.com/@trucnha09/video/7679711296467569936?_r=1&amp;_t=ZS-99KuRhJZkKD" Type="http://schemas.openxmlformats.org/officeDocument/2006/relationships/hyperlink" TargetMode="External"></Relationship><Relationship Id="rId102" Target="https://www.tiktok.com/@hlig.unbox03/video/7679511198471179527?shop_region=VN&amp;shop_id=7496242113276513249" Type="http://schemas.openxmlformats.org/officeDocument/2006/relationships/hyperlink" TargetMode="External"></Relationship><Relationship Id="rId103" Target="https://www.tiktok.com/@kimanhrivew/video/7682053924336979221?shop_region=VN&amp;shop_id=7496242113276513249" Type="http://schemas.openxmlformats.org/officeDocument/2006/relationships/hyperlink" TargetMode="External"></Relationship><Relationship Id="rId104" Target="https://www.tiktok.com/@vangiadung19/video/7675527715331558676?_r=1&amp;_t=ZS-992IpdHD5Qj" Type="http://schemas.openxmlformats.org/officeDocument/2006/relationships/hyperlink" TargetMode="External"></Relationship><Relationship Id="rId105" Target="https://www.tiktok.com/@lethithulen/video/7675540386680474898?shop_region=VN&amp;shop_id=7496242113276513249" Type="http://schemas.openxmlformats.org/officeDocument/2006/relationships/hyperlink" TargetMode="External"></Relationship><Relationship Id="rId106" Target="https://www.tiktok.com/@lienmatto/video/7677457927157878034?shop_region=VN&amp;shop_id=7496242113276513249" Type="http://schemas.openxmlformats.org/officeDocument/2006/relationships/hyperlink" TargetMode="External"></Relationship><Relationship Id="rId107" Target="https://www.tiktok.com/@maymayreview3/video/7679118843901398279?shop_region=VN&amp;shop_id=7496242113276513249" Type="http://schemas.openxmlformats.org/officeDocument/2006/relationships/hyperlink" TargetMode="External"></Relationship><Relationship Id="rId108" Target="https://www.tiktok.com/@.hip035/video/7680497342444752136?shop_region=VN&amp;shop_id=7496242113276513249" Type="http://schemas.openxmlformats.org/officeDocument/2006/relationships/hyperlink" TargetMode="External"></Relationship><Relationship Id="rId109" Target="https://www.tiktok.com/@nguyentien270895/video/7672735349692534036?_r=1&amp;_t=ZS-98rjRtAFJTx" Type="http://schemas.openxmlformats.org/officeDocument/2006/relationships/hyperlink" TargetMode="External"></Relationship><Relationship Id="rId110" Target="https://www.tiktok.com/@sendobo/video/7675644228608871701?shop_id=7496242113276513249&amp;shop_region=VN" Type="http://schemas.openxmlformats.org/officeDocument/2006/relationships/hyperlink" TargetMode="External"></Relationship><Relationship Id="rId111" Target="https://www.tiktok.com/@_mekhanhhuyen1508_/video/7677825860245687572?_r=1&amp;_t=ZS-99AWoiYJhrB" Type="http://schemas.openxmlformats.org/officeDocument/2006/relationships/hyperlink" TargetMode="External"></Relationship><Relationship Id="rId112" Target="https://www.tiktok.com/@maicuccc/video/7678973718957149461?shop_region=VN&amp;shop_id=7496242113276513249" Type="http://schemas.openxmlformats.org/officeDocument/2006/relationships/hyperlink" TargetMode="External"></Relationship><Relationship Id="rId113" Target="https://www.tiktok.com/@ngoc.tayninh/video/7680509079298559240?shop_id=7496242113276513249&amp;shop_region=VN" Type="http://schemas.openxmlformats.org/officeDocument/2006/relationships/hyperlink" TargetMode="External"></Relationship><Relationship Id="rId114" Target="https://www.tiktok.com/@mymotmy/video/7681583060814499079?shop_region=VN&amp;shop_id=7496242113276513249" Type="http://schemas.openxmlformats.org/officeDocument/2006/relationships/hyperlink" TargetMode="External"></Relationship><Relationship Id="rId115" Target="https://vt.tiktok.com/ZSVdrcKte/" Type="http://schemas.openxmlformats.org/officeDocument/2006/relationships/hyperlink" TargetMode="External"></Relationship><Relationship Id="rId116" Target="https://www.tiktok.com/@me.be.gao.review.2405/video/7675239949708414215?shop_region=VN&amp;shop_id=7496242113276513249" Type="http://schemas.openxmlformats.org/officeDocument/2006/relationships/hyperlink" TargetMode="External"></Relationship><Relationship Id="rId117" Target="https://vt.tiktok.com/ZSVCFDtJv/" Type="http://schemas.openxmlformats.org/officeDocument/2006/relationships/hyperlink" TargetMode="External"></Relationship><Relationship Id="rId118" Target="https://www.tiktok.com/@minie2124/video/7679052925162966290?shop_region=VN&amp;shop_id=7496242113276513249" Type="http://schemas.openxmlformats.org/officeDocument/2006/relationships/hyperlink" TargetMode="External"></Relationship><Relationship Id="rId119" Target="https://www.tiktok.com/@baitap24h/video/7677488814402653461?shop_id=7496242113276513249&amp;shop_region=VN" Type="http://schemas.openxmlformats.org/officeDocument/2006/relationships/hyperlink" TargetMode="External"></Relationship><Relationship Id="rId120" Target="https://www.tiktok.com/@thuthao799/video/7681638886354816277?shop_region=VN&amp;shop_id=7496242113276513249" Type="http://schemas.openxmlformats.org/officeDocument/2006/relationships/hyperlink" TargetMode="External"></Relationship><Relationship Id="rId121" Target="https://www.tiktok.com/@meimi_spt01/video/7625981393398484245?is_from_webapp=1&amp;sender_device=pc" Type="http://schemas.openxmlformats.org/officeDocument/2006/relationships/hyperlink" TargetMode="External"></Relationship><Relationship Id="rId122" Target="https://www.tiktok.com/@me.be.gao.review.2405/video/7675240155703266578?shop_id=7496242113276513249&amp;shop_region=VN" Type="http://schemas.openxmlformats.org/officeDocument/2006/relationships/hyperlink" TargetMode="External"></Relationship><Relationship Id="rId123" Target="https://www.tiktok.com/@_minn_00/video/7677541737971141906?shop_region=VN&amp;shop_id=7496242113276513249" Type="http://schemas.openxmlformats.org/officeDocument/2006/relationships/hyperlink" TargetMode="External"></Relationship><Relationship Id="rId124" Target="https://www.tiktok.com/@lyy.shop.99/video/7679324094499654913?_r=1&amp;_t=ZS-99KWFfztFTM" Type="http://schemas.openxmlformats.org/officeDocument/2006/relationships/hyperlink" TargetMode="External"></Relationship><Relationship Id="rId125" Target="https://www.tiktok.com/@giadungtienich.23/video/7680602252955979016?shop_region=VN&amp;shop_id=7496242113276513249" Type="http://schemas.openxmlformats.org/officeDocument/2006/relationships/hyperlink" TargetMode="External"></Relationship><Relationship Id="rId126" Target="https://www.tiktok.com/@me.em.dau.ne2407/video/7673530300915453204?_r=1&amp;_t=ZS-98qqs4XzPy1" Type="http://schemas.openxmlformats.org/officeDocument/2006/relationships/hyperlink" TargetMode="External"></Relationship><Relationship Id="rId127" Target="https://www.tiktok.com/@thuthao799/video/7675899727749205268?shop_region=VN&amp;shop_id=7496242113276513249" Type="http://schemas.openxmlformats.org/officeDocument/2006/relationships/hyperlink" TargetMode="External"></Relationship><Relationship Id="rId128" Target="https://www.tiktok.com/@tinhtienty3944/video/7677614859764354324?shop_region=VN&amp;shop_id=7496242113276513249" Type="http://schemas.openxmlformats.org/officeDocument/2006/relationships/hyperlink" TargetMode="External"></Relationship><Relationship Id="rId129" Target="https://www.tiktok.com/@biiemm2909/video/7679341745095724308?shop_region=VN&amp;shop_id=7496242113276513249" Type="http://schemas.openxmlformats.org/officeDocument/2006/relationships/hyperlink" TargetMode="External"></Relationship><Relationship Id="rId130" Target="https://www.tiktok.com/@biiemm2909/video/7680549331841092885?shop_region=VN&amp;shop_id=7496242113276513249" Type="http://schemas.openxmlformats.org/officeDocument/2006/relationships/hyperlink" TargetMode="External"></Relationship><Relationship Id="rId131" Target="https://www.tiktok.com/@me.em.dau.ne2407/video/7674248969953856788?shop_id=7496242113276513249&amp;shop_region=VN" Type="http://schemas.openxmlformats.org/officeDocument/2006/relationships/hyperlink" TargetMode="External"></Relationship><Relationship Id="rId132" Target="https://www.tiktok.com/@thuthao799/video/7675755689809022228?shop_region=VN&amp;shop_id=7496242113276513249" Type="http://schemas.openxmlformats.org/officeDocument/2006/relationships/hyperlink" TargetMode="External"></Relationship><Relationship Id="rId133" Target="https://www.tiktok.com/@lienmatto/video/7677458207802920199?shop_id=7496242113276513249&amp;shop_region=VN" Type="http://schemas.openxmlformats.org/officeDocument/2006/relationships/hyperlink" TargetMode="External"></Relationship><Relationship Id="rId134" Target="https://www.tiktok.com/@lyy.shop.99/video/7679309845245283601?_r=1&amp;_t=ZS-99KWG4x97Sr" Type="http://schemas.openxmlformats.org/officeDocument/2006/relationships/hyperlink" TargetMode="External"></Relationship><Relationship Id="rId135" Target="https://www.tiktok.com/@ngoc.tayninh/video/7680511381254229266?shop_region=VN&amp;shop_id=7496242113276513249" Type="http://schemas.openxmlformats.org/officeDocument/2006/relationships/hyperlink" TargetMode="External"></Relationship><Relationship Id="rId136" Target="https://www.tiktok.com/@minie2124/video/7674112867418901767?shop_id=7496242113276513249&amp;shop_region=VN" Type="http://schemas.openxmlformats.org/officeDocument/2006/relationships/hyperlink" TargetMode="External"></Relationship><Relationship Id="rId137" Target="https://www.tiktok.com/@biiemm2909/video/7675648630547614996?shop_region=VN&amp;shop_id=7496242113276513249" Type="http://schemas.openxmlformats.org/officeDocument/2006/relationships/hyperlink" TargetMode="External"></Relationship><Relationship Id="rId138" Target="https://www.tiktok.com/@.hip035/video/7677494137708498183?shop_region=VN&amp;shop_id=7496242113276513249" Type="http://schemas.openxmlformats.org/officeDocument/2006/relationships/hyperlink" TargetMode="External"></Relationship><Relationship Id="rId139" Target="https://www.tiktok.com/@lyy.shop.99/video/7679312748857134337?_r=1&amp;_t=ZS-99KWCxMTDW4" Type="http://schemas.openxmlformats.org/officeDocument/2006/relationships/hyperlink" TargetMode="External"></Relationship><Relationship Id="rId140" Target="https://www.tiktok.com/@oanhoanh.30/video/7681221286697241876?shop_id=7496242113276513249&amp;shop_region=VN" Type="http://schemas.openxmlformats.org/officeDocument/2006/relationships/hyperlink" TargetMode="External"></Relationship><Relationship Id="rId141" Target="https://vt.tiktok.com/ZSVdrwFx8/" Type="http://schemas.openxmlformats.org/officeDocument/2006/relationships/hyperlink" TargetMode="External"></Relationship><Relationship Id="rId142" Target="https://www.tiktok.com/@0_t.l/video/7675700175670643988?shop_region=VN&amp;shop_id=7496242113276513249" Type="http://schemas.openxmlformats.org/officeDocument/2006/relationships/hyperlink" TargetMode="External"></Relationship><Relationship Id="rId143" Target="https://www.tiktok.com/@maicuccc/video/7678663427841068309?shop_region=VN&amp;shop_id=7496242113276513249" Type="http://schemas.openxmlformats.org/officeDocument/2006/relationships/hyperlink" TargetMode="External"></Relationship><Relationship Id="rId144" Target="https://www.tiktok.com/@giadungtienich.23/video/7681267823116651784?shop_id=7496242113276513249&amp;shop_region=VN" Type="http://schemas.openxmlformats.org/officeDocument/2006/relationships/hyperlink" TargetMode="External"></Relationship><Relationship Id="rId145" Target="https://www.tiktok.com/@nguyentien270895/video/7674109268060015893?shop_id=7496242113276513249&amp;shop_region=VN" Type="http://schemas.openxmlformats.org/officeDocument/2006/relationships/hyperlink" TargetMode="External"></Relationship><Relationship Id="rId146" Target="https://vt.tiktok.com/ZSVc69FhY/" Type="http://schemas.openxmlformats.org/officeDocument/2006/relationships/hyperlink" TargetMode="External"></Relationship><Relationship Id="rId147" Target="https://www.tiktok.com/@thuthao799/video/7679981168577629461?shop_region=VN&amp;shop_id=7496242113276513249" Type="http://schemas.openxmlformats.org/officeDocument/2006/relationships/hyperlink" TargetMode="External"></Relationship><Relationship Id="rId148" Target="https://www.tiktok.com/@muoi28999/video/7681180240269298951?shop_id=7496242113276513249&amp;shop_region=VN" Type="http://schemas.openxmlformats.org/officeDocument/2006/relationships/hyperlink" TargetMode="External"></Relationship><Relationship Id="rId149" Target="https://www.tiktok.com/@tieuziri.254/video/7677010981817535762?_r=1&amp;_t=ZS-996n8LKqsRm" Type="http://schemas.openxmlformats.org/officeDocument/2006/relationships/hyperlink" TargetMode="External"></Relationship><Relationship Id="rId150" Target="https://www.tiktok.com/@hien.daily9/video/7676780290626440456?shop_region=VN&amp;shop_id=7496242113276513249" Type="http://schemas.openxmlformats.org/officeDocument/2006/relationships/hyperlink" TargetMode="External"></Relationship><Relationship Id="rId151" Target="https://www.tiktok.com/@mebimreview77/video/7678398910607412500?shop_region=VN&amp;shop_id=7496242113276513249" Type="http://schemas.openxmlformats.org/officeDocument/2006/relationships/hyperlink" TargetMode="External"></Relationship><Relationship Id="rId152" Target="https://www.tiktok.com/@colanreview/video/7679993543619890452?shop_region=VN&amp;shop_id=7496242113276513249" Type="http://schemas.openxmlformats.org/officeDocument/2006/relationships/hyperlink" TargetMode="External"></Relationship><Relationship Id="rId153" Target="https://www.tiktok.com/@thuthao799/video/7681195609138679060?shop_id=7496242113276513249&amp;shop_region=VN" Type="http://schemas.openxmlformats.org/officeDocument/2006/relationships/hyperlink" TargetMode="External"></Relationship><Relationship Id="rId154" Target="https://www.tiktok.com/@undefined/video/7676478542716177685?shop_region=VN&amp;shop_id=7496242113276513249" Type="http://schemas.openxmlformats.org/officeDocument/2006/relationships/hyperlink" TargetMode="External"></Relationship><Relationship Id="rId155" Target="https://www.tiktok.com/@nhatombexiu/video/7676812726542273800?shop_region=VN&amp;shop_id=7496242113276513249" Type="http://schemas.openxmlformats.org/officeDocument/2006/relationships/hyperlink" TargetMode="External"></Relationship><Relationship Id="rId156" Target="https://www.tiktok.com/@1999linhha24/video/7678631783222627602?shop_region=VN&amp;shop_id=7496242113276513249" Type="http://schemas.openxmlformats.org/officeDocument/2006/relationships/hyperlink" TargetMode="External"></Relationship><Relationship Id="rId157" Target="https://www.tiktok.com/@landungthat9x/video/7679783583912824085?shop_id=7496242113276513249&amp;shop_region=VN" Type="http://schemas.openxmlformats.org/officeDocument/2006/relationships/hyperlink" TargetMode="External"></Relationship><Relationship Id="rId158" Target="https://www.tiktok.com/@giadungtienich.23/video/7681268327800409351?shop_id=7496242113276513249&amp;shop_region=VN" Type="http://schemas.openxmlformats.org/officeDocument/2006/relationships/hyperlink" TargetMode="External"></Relationship><Relationship Id="rId159" Target="https://www.tiktok.com/@muoi28999/video/7676287949436128519?_r=1&amp;_t=ZS-998dNJyidfz" Type="http://schemas.openxmlformats.org/officeDocument/2006/relationships/hyperlink" TargetMode="External"></Relationship><Relationship Id="rId160" Target="https://www.tiktok.com/@thuy.miu65/video/7676773887874567444?shop_region=VN&amp;shop_id=7496242113276513249" Type="http://schemas.openxmlformats.org/officeDocument/2006/relationships/hyperlink" TargetMode="External"></Relationship><Relationship Id="rId161" Target="https://www.tiktok.com/@b.tin.y.n/video/7678914242937965844?shop_region=VN&amp;shop_id=7496242113276513249" Type="http://schemas.openxmlformats.org/officeDocument/2006/relationships/hyperlink" TargetMode="External"></Relationship><Relationship Id="rId162" Target="https://www.tiktok.com/@lemlemnee/video/7679882166267825429?shop_region=VN&amp;shop_id=7496242113276513249" Type="http://schemas.openxmlformats.org/officeDocument/2006/relationships/hyperlink" TargetMode="External"></Relationship><Relationship Id="rId163" Target="https://www.tiktok.com/@muoi28999/video/7681288407565225223?shop_region=VN&amp;shop_id=7496242113276513249" Type="http://schemas.openxmlformats.org/officeDocument/2006/relationships/hyperlink" TargetMode="External"></Relationship><Relationship Id="rId164" Target="https://www.tiktok.com/@hhhoa89/video/7676760795669089544?_r=1&amp;_t=ZS-995e6y0e8HA"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0"/>
  <sheetData>
    <row r="1">
      <c r="A1" s="1" t="s">
        <v>1</v>
      </c>
    </row>
    <row r="2"/>
    <row customHeight="true" ht="99.84554687103672" r="3">
      <c r="A3" s="1" t="s">
        <v>2</v>
      </c>
    </row>
    <row customHeight="true" ht="16.071428571428573" r="4"/>
    <row r="5">
      <c r="A5" s="1" t="s">
        <v>3</v>
      </c>
    </row>
    <row r="6"/>
    <row customHeight="true" ht="33.125898435518394" r="7">
      <c r="A7" s="1" t="s">
        <v>4</v>
      </c>
    </row>
    <row customHeight="true" ht="16.071428571428573" r="8"/>
    <row r="9">
      <c r="A9" s="1" t="s">
        <v>5</v>
      </c>
    </row>
    <row r="10"/>
    <row r="11">
      <c r="A11" s="2" t="s">
        <v>6</v>
      </c>
    </row>
    <row r="12"/>
    <row r="13">
      <c r="A13" s="1" t="s">
        <v>7</v>
      </c>
    </row>
    <row r="14">
      <c r="A14" s="1"/>
      <c r="B14" s="1"/>
    </row>
    <row r="15">
      <c r="A15" s="1" t="s">
        <v>8</v>
      </c>
      <c r="C15" s="1"/>
    </row>
    <row r="16"/>
    <row r="17">
      <c r="A17" s="1" t="s">
        <v>9</v>
      </c>
    </row>
    <row r="18"/>
    <row r="19">
      <c r="A19" s="1" t="s">
        <v>10</v>
      </c>
    </row>
    <row r="20"/>
    <row r="21">
      <c r="A21" s="1" t="s">
        <v>11</v>
      </c>
    </row>
    <row r="22">
      <c r="A22" s="3"/>
    </row>
    <row r="23">
      <c r="A23" s="1" t="s">
        <v>12</v>
      </c>
    </row>
    <row r="24"/>
    <row r="25">
      <c r="A25" s="1" t="s">
        <v>13</v>
      </c>
      <c r="L25" s="1" t="s">
        <v>14</v>
      </c>
    </row>
    <row r="26"/>
    <row r="27">
      <c r="A27" s="1" t="s">
        <v>15</v>
      </c>
    </row>
    <row r="28"/>
    <row r="29">
      <c r="A29" s="1" t="s">
        <v>16</v>
      </c>
    </row>
    <row r="30"/>
    <row r="31">
      <c r="A31" s="1" t="s">
        <v>17</v>
      </c>
    </row>
    <row r="32"/>
    <row r="33">
      <c r="A33" s="1" t="s">
        <v>18</v>
      </c>
    </row>
  </sheetData>
  <hyperlinks>
    <hyperlink ref="A25" display="https://shop.tiktok.com/view/product/1736755929756043233?region=VN&amp;locale=vi-VN&amp;source=seller_creator_im&amp;shop_region=VN&amp;shop_id=7496242113276513249" r:id="rId1"/>
    <hyperlink ref="A1" display="https://shop.tiktok.com/view/product/1735655317619771361?region=VN&amp;locale=vi-VN&amp;source=seller_creator_im&amp;shop_region=VN&amp;shop_id=7496242113276513249" r:id="rId2"/>
    <hyperlink ref="A3" display="https://shop.tiktok.com/view/product/1735655317619771361?region=VN&amp;locale=vi-VN&amp;source=seller_creator_im&amp;shop_region=VN&amp;shop_id=7496242113276513249" r:id="rId3"/>
    <hyperlink ref="A11" display="https://www.tiktok.com/@ngahugo238/video/7661530874072124690?shop_id=7496242113276513249&amp;shop_region=VN" r:id="rId4"/>
    <hyperlink ref="A33" display="[Brief] Sữa tắm Chesy x Creator" r:id="rId5"/>
    <hyperlink ref="A13" display="CHESY [BRIEF BOOKING CREATOR AFFILIATE] " r:id="rId6"/>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2" min="2" style="0" width="8.438184663536775"/>
    <col collapsed="false" customWidth="true" hidden="false" max="4" min="4" style="0" width="13.702660406885762"/>
    <col collapsed="false" customWidth="true" hidden="false" max="6" min="6" style="0" width="11.211267605633802"/>
    <col collapsed="false" customWidth="true" hidden="false" max="8" min="8" style="0" width="11.211267605633802"/>
    <col collapsed="false" customWidth="true" hidden="false" max="12" min="12" style="0" width="11.211267605633802"/>
    <col collapsed="false" customWidth="true" hidden="false" max="11" min="11" style="0" width="11.211267605633802"/>
    <col collapsed="false" customWidth="true" hidden="false" max="13" min="13" style="0" width="11.211267605633802"/>
    <col collapsed="false" customWidth="true" hidden="false" max="1" min="1" style="0" width="8.394366197183098"/>
    <col collapsed="false" customWidth="true" hidden="false" max="3" min="3" style="0" width="8.25039123630673"/>
    <col collapsed="false" customWidth="true" hidden="false" max="5" min="5" style="0" width="11.211267605633802"/>
    <col collapsed="false" customWidth="true" hidden="false" max="7" min="7" style="0" width="11.211267605633802"/>
    <col collapsed="false" customWidth="true" hidden="false" max="9" min="9" style="0" width="15.267605633802816"/>
  </cols>
  <sheetData>
    <row r="1">
      <c r="A1" s="4" t="s">
        <v>19</v>
      </c>
      <c r="B1" s="4" t="s">
        <v>20</v>
      </c>
      <c r="C1" s="5" t="s">
        <v>21</v>
      </c>
      <c r="D1" s="5" t="s">
        <v>22</v>
      </c>
      <c r="E1" s="5" t="s">
        <v>23</v>
      </c>
      <c r="F1" s="6" t="s">
        <v>24</v>
      </c>
      <c r="G1" s="6" t="s">
        <v>25</v>
      </c>
      <c r="H1" s="6" t="s">
        <v>26</v>
      </c>
      <c r="I1" s="5" t="s">
        <v>27</v>
      </c>
      <c r="J1" s="7" t="s">
        <v>28</v>
      </c>
      <c r="K1" s="7" t="s">
        <v>29</v>
      </c>
      <c r="L1" s="8" t="s">
        <v>30</v>
      </c>
      <c r="M1" s="5" t="s">
        <v>31</v>
      </c>
      <c r="N1" s="5" t="s">
        <v>32</v>
      </c>
      <c r="O1" s="5" t="s">
        <v>33</v>
      </c>
      <c r="P1" s="5" t="s">
        <v>34</v>
      </c>
      <c r="Q1" s="9"/>
      <c r="R1" s="9"/>
      <c r="S1" s="9"/>
      <c r="T1" s="10"/>
      <c r="U1" s="10"/>
    </row>
    <row r="2">
      <c r="A2" s="11">
        <v>1</v>
      </c>
      <c r="B2" s="11" t="s">
        <v>35</v>
      </c>
      <c r="C2" s="12">
        <v>46241</v>
      </c>
      <c r="D2" s="13" t="s">
        <v>36</v>
      </c>
      <c r="E2" s="14">
        <f t="shared" ref="E2:E48" si="0">HYPERLINK("https://www.tiktok.com/@"&amp;TRIM(D2))</f>
      </c>
      <c r="F2" s="15">
        <v>0</v>
      </c>
      <c r="G2" s="11" t="s">
        <v>37</v>
      </c>
      <c r="H2" s="16" t="s">
        <v>38</v>
      </c>
      <c r="I2" s="17" t="s">
        <v>39</v>
      </c>
      <c r="J2" s="12">
        <f t="shared" ref="J2:J3" si="4">IFERROR(C2+3,"")</f>
      </c>
      <c r="K2" s="18">
        <f t="shared" ref="K2:K24" si="10">IFERROR(L2-2,"")</f>
      </c>
      <c r="L2" s="12">
        <v>46249</v>
      </c>
      <c r="M2" s="13" t="s">
        <v>40</v>
      </c>
      <c r="N2" s="13"/>
      <c r="O2" s="16"/>
      <c r="P2" s="19" t="s">
        <v>41</v>
      </c>
      <c r="Q2" s="16"/>
      <c r="R2" s="16"/>
      <c r="S2" s="16"/>
    </row>
    <row r="3">
      <c r="A3" s="11">
        <f t="shared" ref="A3:A91" si="13">A2+1</f>
      </c>
      <c r="B3" s="11" t="s">
        <v>35</v>
      </c>
      <c r="C3" s="12">
        <v>46241</v>
      </c>
      <c r="D3" s="13" t="s">
        <v>42</v>
      </c>
      <c r="E3" s="14">
        <f t="shared" si="0"/>
      </c>
      <c r="F3" s="15">
        <v>0</v>
      </c>
      <c r="G3" s="11" t="s">
        <v>37</v>
      </c>
      <c r="H3" s="16" t="s">
        <v>38</v>
      </c>
      <c r="I3" s="17" t="s">
        <v>39</v>
      </c>
      <c r="J3" s="12">
        <f t="shared" si="4"/>
      </c>
      <c r="K3" s="18">
        <f t="shared" si="10"/>
      </c>
      <c r="L3" s="12">
        <v>46251</v>
      </c>
      <c r="M3" s="13" t="s">
        <v>40</v>
      </c>
      <c r="N3" s="13"/>
      <c r="O3" s="16"/>
      <c r="P3" s="19" t="s">
        <v>43</v>
      </c>
      <c r="Q3" s="16"/>
      <c r="R3" s="16"/>
      <c r="S3" s="16"/>
    </row>
    <row r="4">
      <c r="A4" s="11">
        <f t="shared" si="13"/>
      </c>
      <c r="B4" s="11" t="s">
        <v>35</v>
      </c>
      <c r="C4" s="12">
        <v>46241</v>
      </c>
      <c r="D4" s="13" t="s">
        <v>44</v>
      </c>
      <c r="E4" s="14">
        <f t="shared" si="0"/>
      </c>
      <c r="F4" s="15">
        <v>0</v>
      </c>
      <c r="G4" s="11" t="s">
        <v>37</v>
      </c>
      <c r="H4" s="16" t="s">
        <v>38</v>
      </c>
      <c r="I4" s="17" t="s">
        <v>39</v>
      </c>
      <c r="J4" s="12">
        <f>IFERROR(C5+3,"")</f>
      </c>
      <c r="K4" s="18">
        <f t="shared" si="10"/>
      </c>
      <c r="L4" s="12">
        <v>46251</v>
      </c>
      <c r="M4" s="13" t="s">
        <v>40</v>
      </c>
      <c r="N4" s="13"/>
      <c r="O4" s="16"/>
      <c r="P4" s="19" t="s">
        <v>45</v>
      </c>
      <c r="Q4" s="16"/>
      <c r="R4" s="16"/>
      <c r="S4" s="16"/>
    </row>
    <row r="5">
      <c r="A5" s="11">
        <f t="shared" si="13"/>
      </c>
      <c r="B5" s="11" t="s">
        <v>35</v>
      </c>
      <c r="C5" s="12">
        <v>46241</v>
      </c>
      <c r="D5" s="13" t="s">
        <v>46</v>
      </c>
      <c r="E5" s="14">
        <f t="shared" si="0"/>
      </c>
      <c r="F5" s="15">
        <v>0</v>
      </c>
      <c r="G5" s="11" t="s">
        <v>37</v>
      </c>
      <c r="H5" s="16" t="s">
        <v>38</v>
      </c>
      <c r="I5" s="17" t="s">
        <v>39</v>
      </c>
      <c r="J5" s="12">
        <f t="shared" ref="J5:J25" si="5">IFERROR(C5+3,"")</f>
      </c>
      <c r="K5" s="18">
        <f t="shared" si="10"/>
      </c>
      <c r="L5" s="12">
        <v>46251</v>
      </c>
      <c r="M5" s="13" t="s">
        <v>40</v>
      </c>
      <c r="N5" s="13"/>
      <c r="O5" s="16"/>
      <c r="P5" s="19" t="s">
        <v>47</v>
      </c>
      <c r="Q5" s="16"/>
      <c r="R5" s="16"/>
      <c r="S5" s="16"/>
    </row>
    <row r="6">
      <c r="A6" s="11">
        <f t="shared" si="13"/>
      </c>
      <c r="B6" s="11" t="s">
        <v>35</v>
      </c>
      <c r="C6" s="12">
        <v>46244</v>
      </c>
      <c r="D6" s="13" t="s">
        <v>48</v>
      </c>
      <c r="E6" s="14">
        <f t="shared" si="0"/>
      </c>
      <c r="F6" s="15">
        <v>0</v>
      </c>
      <c r="G6" s="11" t="s">
        <v>37</v>
      </c>
      <c r="H6" s="16" t="s">
        <v>38</v>
      </c>
      <c r="I6" s="17" t="s">
        <v>39</v>
      </c>
      <c r="J6" s="12">
        <f t="shared" si="5"/>
      </c>
      <c r="K6" s="18">
        <f t="shared" si="10"/>
      </c>
      <c r="L6" s="12">
        <v>46254</v>
      </c>
      <c r="M6" s="13" t="s">
        <v>40</v>
      </c>
      <c r="N6" s="13"/>
      <c r="O6" s="16"/>
      <c r="P6" s="19" t="s">
        <v>49</v>
      </c>
      <c r="Q6" s="16"/>
      <c r="R6" s="16"/>
      <c r="S6" s="16"/>
    </row>
    <row r="7">
      <c r="A7" s="11">
        <f t="shared" si="13"/>
      </c>
      <c r="B7" s="11" t="s">
        <v>35</v>
      </c>
      <c r="C7" s="12">
        <v>46241</v>
      </c>
      <c r="D7" s="13" t="s">
        <v>50</v>
      </c>
      <c r="E7" s="14">
        <f t="shared" si="0"/>
      </c>
      <c r="F7" s="15">
        <v>0</v>
      </c>
      <c r="G7" s="11" t="s">
        <v>37</v>
      </c>
      <c r="H7" s="16" t="s">
        <v>38</v>
      </c>
      <c r="I7" s="17" t="s">
        <v>39</v>
      </c>
      <c r="J7" s="12">
        <f t="shared" si="5"/>
      </c>
      <c r="K7" s="18">
        <f t="shared" si="10"/>
      </c>
      <c r="L7" s="12">
        <v>46258</v>
      </c>
      <c r="M7" s="13" t="s">
        <v>51</v>
      </c>
      <c r="N7" s="13"/>
      <c r="O7" s="16"/>
      <c r="P7" s="19" t="s">
        <v>52</v>
      </c>
      <c r="Q7" s="16"/>
      <c r="R7" s="16"/>
      <c r="S7" s="16"/>
    </row>
    <row r="8">
      <c r="A8" s="11">
        <f t="shared" si="13"/>
      </c>
      <c r="B8" s="11" t="s">
        <v>35</v>
      </c>
      <c r="C8" s="12">
        <v>46241</v>
      </c>
      <c r="D8" s="13" t="s">
        <v>53</v>
      </c>
      <c r="E8" s="14">
        <f t="shared" si="0"/>
      </c>
      <c r="F8" s="15">
        <v>0</v>
      </c>
      <c r="G8" s="11" t="s">
        <v>37</v>
      </c>
      <c r="H8" s="16" t="s">
        <v>38</v>
      </c>
      <c r="I8" s="17" t="s">
        <v>39</v>
      </c>
      <c r="J8" s="12">
        <f t="shared" si="5"/>
      </c>
      <c r="K8" s="18">
        <f t="shared" si="10"/>
      </c>
      <c r="L8" s="12">
        <v>46251</v>
      </c>
      <c r="M8" s="13" t="s">
        <v>40</v>
      </c>
      <c r="N8" s="13"/>
      <c r="O8" s="16"/>
      <c r="P8" s="19" t="s">
        <v>54</v>
      </c>
      <c r="Q8" s="16"/>
      <c r="R8" s="16"/>
      <c r="S8" s="16"/>
    </row>
    <row r="9">
      <c r="A9" s="11">
        <f t="shared" si="13"/>
      </c>
      <c r="B9" s="11" t="s">
        <v>35</v>
      </c>
      <c r="C9" s="12">
        <v>46241</v>
      </c>
      <c r="D9" s="13" t="s">
        <v>55</v>
      </c>
      <c r="E9" s="14">
        <f t="shared" si="0"/>
      </c>
      <c r="F9" s="15">
        <v>0</v>
      </c>
      <c r="G9" s="11" t="s">
        <v>37</v>
      </c>
      <c r="H9" s="16" t="s">
        <v>38</v>
      </c>
      <c r="I9" s="17" t="s">
        <v>39</v>
      </c>
      <c r="J9" s="12">
        <f t="shared" si="5"/>
      </c>
      <c r="K9" s="18">
        <f t="shared" si="10"/>
      </c>
      <c r="L9" s="12">
        <v>46251</v>
      </c>
      <c r="M9" s="13" t="s">
        <v>40</v>
      </c>
      <c r="N9" s="13"/>
      <c r="O9" s="16"/>
      <c r="P9" s="19" t="s">
        <v>56</v>
      </c>
      <c r="Q9" s="16"/>
      <c r="R9" s="16"/>
      <c r="S9" s="16"/>
    </row>
    <row r="10">
      <c r="A10" s="11">
        <f t="shared" si="13"/>
      </c>
      <c r="B10" s="11" t="s">
        <v>35</v>
      </c>
      <c r="C10" s="12">
        <v>46242</v>
      </c>
      <c r="D10" s="13" t="s">
        <v>57</v>
      </c>
      <c r="E10" s="14">
        <f t="shared" si="0"/>
      </c>
      <c r="F10" s="15">
        <v>0</v>
      </c>
      <c r="G10" s="11" t="s">
        <v>37</v>
      </c>
      <c r="H10" s="16" t="s">
        <v>38</v>
      </c>
      <c r="I10" s="17" t="s">
        <v>39</v>
      </c>
      <c r="J10" s="12">
        <f t="shared" si="5"/>
      </c>
      <c r="K10" s="18">
        <f t="shared" si="10"/>
      </c>
      <c r="L10" s="12">
        <v>46253</v>
      </c>
      <c r="M10" s="13" t="s">
        <v>40</v>
      </c>
      <c r="N10" s="13"/>
      <c r="O10" s="16"/>
      <c r="P10" s="19" t="s">
        <v>58</v>
      </c>
      <c r="Q10" s="16"/>
      <c r="R10" s="16"/>
      <c r="S10" s="16"/>
    </row>
    <row r="11">
      <c r="A11" s="11">
        <f t="shared" si="13"/>
      </c>
      <c r="B11" s="11" t="s">
        <v>35</v>
      </c>
      <c r="C11" s="12">
        <v>46242</v>
      </c>
      <c r="D11" t="s">
        <v>59</v>
      </c>
      <c r="E11" s="14">
        <f t="shared" si="0"/>
      </c>
      <c r="F11" s="15">
        <v>0</v>
      </c>
      <c r="G11" s="11" t="s">
        <v>37</v>
      </c>
      <c r="H11" s="16" t="s">
        <v>38</v>
      </c>
      <c r="I11" s="17" t="s">
        <v>39</v>
      </c>
      <c r="J11" s="12">
        <f t="shared" si="5"/>
      </c>
      <c r="K11" s="18">
        <f t="shared" si="10"/>
      </c>
      <c r="L11" s="12">
        <v>46251</v>
      </c>
      <c r="M11" s="13" t="s">
        <v>40</v>
      </c>
      <c r="P11" s="19" t="s">
        <v>60</v>
      </c>
    </row>
    <row r="12">
      <c r="A12" s="11">
        <f t="shared" si="13"/>
      </c>
      <c r="B12" s="11" t="s">
        <v>35</v>
      </c>
      <c r="C12" s="12">
        <v>46242</v>
      </c>
      <c r="D12" t="s">
        <v>61</v>
      </c>
      <c r="E12" s="14">
        <f t="shared" si="0"/>
      </c>
      <c r="F12" s="15">
        <v>0</v>
      </c>
      <c r="G12" s="11" t="s">
        <v>37</v>
      </c>
      <c r="H12" s="16" t="s">
        <v>38</v>
      </c>
      <c r="I12" s="17" t="s">
        <v>39</v>
      </c>
      <c r="J12" s="12">
        <f t="shared" si="5"/>
      </c>
      <c r="K12" s="18">
        <f t="shared" si="10"/>
      </c>
      <c r="L12" s="12">
        <v>46251</v>
      </c>
      <c r="M12" s="13" t="s">
        <v>40</v>
      </c>
      <c r="P12" s="19" t="s">
        <v>62</v>
      </c>
    </row>
    <row r="13">
      <c r="A13" s="11">
        <f t="shared" si="13"/>
      </c>
      <c r="B13" s="11" t="s">
        <v>35</v>
      </c>
      <c r="C13" s="12">
        <v>46242</v>
      </c>
      <c r="D13" t="s">
        <v>63</v>
      </c>
      <c r="E13" s="14">
        <f t="shared" si="0"/>
      </c>
      <c r="F13" s="15">
        <v>0</v>
      </c>
      <c r="G13" s="11" t="s">
        <v>37</v>
      </c>
      <c r="H13" s="16" t="s">
        <v>38</v>
      </c>
      <c r="I13" s="17" t="s">
        <v>39</v>
      </c>
      <c r="J13" s="12">
        <f t="shared" si="5"/>
      </c>
      <c r="K13" s="18">
        <f t="shared" si="10"/>
      </c>
      <c r="L13" s="12">
        <v>46255</v>
      </c>
      <c r="M13" s="13" t="s">
        <v>40</v>
      </c>
      <c r="P13" s="19" t="s">
        <v>64</v>
      </c>
    </row>
    <row r="14">
      <c r="A14" s="11">
        <f t="shared" si="13"/>
      </c>
      <c r="B14" s="11" t="s">
        <v>35</v>
      </c>
      <c r="C14" s="12">
        <v>46242</v>
      </c>
      <c r="D14" t="s">
        <v>65</v>
      </c>
      <c r="E14" s="14">
        <f t="shared" si="0"/>
      </c>
      <c r="F14" s="15">
        <v>0</v>
      </c>
      <c r="G14" s="11" t="s">
        <v>37</v>
      </c>
      <c r="H14" s="16" t="s">
        <v>38</v>
      </c>
      <c r="I14" s="17" t="s">
        <v>39</v>
      </c>
      <c r="J14" s="12">
        <f t="shared" si="5"/>
      </c>
      <c r="K14" s="18">
        <f t="shared" si="10"/>
      </c>
      <c r="L14" s="12">
        <v>46253</v>
      </c>
      <c r="M14" s="13" t="s">
        <v>40</v>
      </c>
      <c r="P14" s="20" t="s">
        <v>66</v>
      </c>
    </row>
    <row r="15">
      <c r="A15" s="11">
        <f t="shared" si="13"/>
      </c>
      <c r="B15" s="11" t="s">
        <v>35</v>
      </c>
      <c r="C15" s="12">
        <v>46242</v>
      </c>
      <c r="D15" s="20" t="s">
        <v>67</v>
      </c>
      <c r="E15" s="14">
        <f t="shared" si="0"/>
      </c>
      <c r="F15" s="15">
        <v>0</v>
      </c>
      <c r="G15" s="11" t="s">
        <v>37</v>
      </c>
      <c r="H15" s="16" t="s">
        <v>38</v>
      </c>
      <c r="I15" s="17" t="s">
        <v>39</v>
      </c>
      <c r="J15" s="12">
        <f t="shared" si="5"/>
      </c>
      <c r="K15" s="18">
        <f t="shared" si="10"/>
      </c>
      <c r="L15" s="12">
        <v>46253</v>
      </c>
      <c r="M15" s="13" t="s">
        <v>40</v>
      </c>
      <c r="P15" s="20" t="s">
        <v>68</v>
      </c>
    </row>
    <row r="16">
      <c r="A16" s="11">
        <f t="shared" si="13"/>
      </c>
      <c r="B16" s="11" t="s">
        <v>35</v>
      </c>
      <c r="C16" s="12">
        <v>46242</v>
      </c>
      <c r="D16" t="s">
        <v>69</v>
      </c>
      <c r="E16" s="14">
        <f t="shared" si="0"/>
      </c>
      <c r="F16" s="15">
        <v>0</v>
      </c>
      <c r="G16" s="11" t="s">
        <v>37</v>
      </c>
      <c r="H16" s="16" t="s">
        <v>38</v>
      </c>
      <c r="I16" s="17" t="s">
        <v>39</v>
      </c>
      <c r="J16" s="12">
        <f t="shared" si="5"/>
      </c>
      <c r="K16" s="18">
        <f t="shared" si="10"/>
      </c>
      <c r="L16" s="12">
        <v>46253</v>
      </c>
      <c r="M16" s="13" t="s">
        <v>40</v>
      </c>
      <c r="P16" s="20" t="s">
        <v>70</v>
      </c>
    </row>
    <row r="17">
      <c r="A17" s="11">
        <f t="shared" si="13"/>
      </c>
      <c r="B17" s="11" t="s">
        <v>35</v>
      </c>
      <c r="C17" s="12">
        <v>46242</v>
      </c>
      <c r="D17" t="s">
        <v>71</v>
      </c>
      <c r="E17" s="14">
        <f t="shared" si="0"/>
      </c>
      <c r="F17" s="15">
        <v>0</v>
      </c>
      <c r="G17" s="11" t="s">
        <v>37</v>
      </c>
      <c r="H17" s="16" t="s">
        <v>38</v>
      </c>
      <c r="I17" s="17" t="s">
        <v>39</v>
      </c>
      <c r="J17" s="12">
        <f t="shared" si="5"/>
      </c>
      <c r="K17" s="18">
        <f t="shared" si="10"/>
      </c>
      <c r="L17" s="12">
        <v>46253</v>
      </c>
      <c r="M17" s="13" t="s">
        <v>40</v>
      </c>
      <c r="P17" s="20" t="s">
        <v>72</v>
      </c>
    </row>
    <row r="18">
      <c r="A18" s="11">
        <f t="shared" si="13"/>
      </c>
      <c r="B18" s="11" t="s">
        <v>35</v>
      </c>
      <c r="C18" s="12">
        <v>46244</v>
      </c>
      <c r="D18" s="20" t="s">
        <v>73</v>
      </c>
      <c r="E18" s="14">
        <f t="shared" si="0"/>
      </c>
      <c r="F18" s="15">
        <v>0</v>
      </c>
      <c r="G18" s="11" t="s">
        <v>37</v>
      </c>
      <c r="H18" s="16" t="s">
        <v>38</v>
      </c>
      <c r="I18" s="17" t="s">
        <v>39</v>
      </c>
      <c r="J18" s="12">
        <f t="shared" si="5"/>
      </c>
      <c r="K18" s="18">
        <f t="shared" si="10"/>
      </c>
      <c r="L18" s="12">
        <v>46254</v>
      </c>
      <c r="M18" s="13" t="s">
        <v>40</v>
      </c>
      <c r="P18" s="20" t="s">
        <v>74</v>
      </c>
    </row>
    <row r="19">
      <c r="A19" s="11">
        <f t="shared" si="13"/>
      </c>
      <c r="B19" s="11" t="s">
        <v>35</v>
      </c>
      <c r="C19" s="12">
        <v>46244</v>
      </c>
      <c r="D19" s="20" t="s">
        <v>75</v>
      </c>
      <c r="E19" s="14">
        <f t="shared" si="0"/>
      </c>
      <c r="F19" s="15">
        <v>0</v>
      </c>
      <c r="G19" s="11" t="s">
        <v>37</v>
      </c>
      <c r="H19" s="16" t="s">
        <v>38</v>
      </c>
      <c r="I19" s="17" t="s">
        <v>39</v>
      </c>
      <c r="J19" s="12">
        <f t="shared" si="5"/>
      </c>
      <c r="K19" s="18">
        <f t="shared" si="10"/>
      </c>
      <c r="L19" s="12">
        <v>46251</v>
      </c>
      <c r="M19" s="13" t="s">
        <v>40</v>
      </c>
      <c r="P19" s="20" t="s">
        <v>76</v>
      </c>
    </row>
    <row r="20">
      <c r="A20" s="11">
        <f t="shared" si="13"/>
      </c>
      <c r="B20" s="11" t="s">
        <v>35</v>
      </c>
      <c r="C20" s="12">
        <v>46244</v>
      </c>
      <c r="D20" s="20" t="s">
        <v>77</v>
      </c>
      <c r="E20" s="14">
        <f t="shared" si="0"/>
      </c>
      <c r="F20" s="15">
        <v>0</v>
      </c>
      <c r="G20" s="11" t="s">
        <v>37</v>
      </c>
      <c r="H20" s="16" t="s">
        <v>38</v>
      </c>
      <c r="I20" s="17" t="s">
        <v>39</v>
      </c>
      <c r="J20" s="12">
        <f t="shared" si="5"/>
      </c>
      <c r="K20" s="18">
        <f t="shared" si="10"/>
      </c>
      <c r="L20" s="12">
        <v>46254</v>
      </c>
      <c r="M20" s="13" t="s">
        <v>40</v>
      </c>
      <c r="P20" s="20" t="s">
        <v>78</v>
      </c>
    </row>
    <row r="21">
      <c r="A21" s="11">
        <f t="shared" si="13"/>
      </c>
      <c r="B21" s="11" t="s">
        <v>35</v>
      </c>
      <c r="C21" s="12">
        <v>46244</v>
      </c>
      <c r="D21" s="20" t="s">
        <v>79</v>
      </c>
      <c r="E21" s="14">
        <f t="shared" si="0"/>
      </c>
      <c r="F21" s="15">
        <v>0</v>
      </c>
      <c r="G21" s="11" t="s">
        <v>37</v>
      </c>
      <c r="H21" s="16" t="s">
        <v>38</v>
      </c>
      <c r="I21" s="17" t="s">
        <v>39</v>
      </c>
      <c r="J21" s="12">
        <f t="shared" si="5"/>
      </c>
      <c r="K21" s="18">
        <f t="shared" si="10"/>
      </c>
      <c r="L21" s="12">
        <v>46253</v>
      </c>
      <c r="M21" s="13" t="s">
        <v>40</v>
      </c>
      <c r="P21" s="20" t="s">
        <v>80</v>
      </c>
    </row>
    <row r="22">
      <c r="A22" s="11">
        <f t="shared" si="13"/>
      </c>
      <c r="B22" s="11" t="s">
        <v>35</v>
      </c>
      <c r="C22" s="12">
        <v>46244</v>
      </c>
      <c r="D22" s="20" t="s">
        <v>81</v>
      </c>
      <c r="E22" s="14">
        <f t="shared" si="0"/>
      </c>
      <c r="F22" s="15">
        <v>0</v>
      </c>
      <c r="G22" s="11" t="s">
        <v>37</v>
      </c>
      <c r="H22" s="16" t="s">
        <v>38</v>
      </c>
      <c r="I22" s="17" t="s">
        <v>39</v>
      </c>
      <c r="J22" s="12">
        <f t="shared" si="5"/>
      </c>
      <c r="K22" s="18">
        <f t="shared" si="10"/>
      </c>
      <c r="L22" s="12">
        <v>46253</v>
      </c>
      <c r="M22" s="13" t="s">
        <v>40</v>
      </c>
      <c r="P22" s="20" t="s">
        <v>82</v>
      </c>
    </row>
    <row r="23">
      <c r="A23" s="11">
        <f t="shared" si="13"/>
      </c>
      <c r="B23" s="11" t="s">
        <v>35</v>
      </c>
      <c r="C23" s="12">
        <v>46244</v>
      </c>
      <c r="D23" s="20" t="s">
        <v>83</v>
      </c>
      <c r="E23" s="14">
        <f t="shared" si="0"/>
      </c>
      <c r="F23" s="15">
        <v>0</v>
      </c>
      <c r="G23" s="11" t="s">
        <v>37</v>
      </c>
      <c r="H23" s="16" t="s">
        <v>38</v>
      </c>
      <c r="I23" s="17" t="s">
        <v>39</v>
      </c>
      <c r="J23" s="12">
        <f t="shared" si="5"/>
      </c>
      <c r="K23" s="18">
        <f t="shared" si="10"/>
      </c>
      <c r="L23" s="12">
        <v>46255</v>
      </c>
      <c r="M23" s="13" t="s">
        <v>40</v>
      </c>
      <c r="P23" s="20" t="s">
        <v>84</v>
      </c>
    </row>
    <row r="24">
      <c r="A24" s="11">
        <f t="shared" si="13"/>
      </c>
      <c r="B24" s="11" t="s">
        <v>35</v>
      </c>
      <c r="C24" s="12">
        <v>46244</v>
      </c>
      <c r="D24" s="20" t="s">
        <v>85</v>
      </c>
      <c r="E24" s="14">
        <f t="shared" si="0"/>
      </c>
      <c r="F24" s="15">
        <v>0</v>
      </c>
      <c r="G24" s="11" t="s">
        <v>37</v>
      </c>
      <c r="H24" s="16" t="s">
        <v>38</v>
      </c>
      <c r="I24" s="17" t="s">
        <v>39</v>
      </c>
      <c r="J24" s="12">
        <f t="shared" si="5"/>
      </c>
      <c r="K24" s="18">
        <f t="shared" si="10"/>
      </c>
      <c r="L24" s="12">
        <v>46254</v>
      </c>
      <c r="M24" s="13" t="s">
        <v>40</v>
      </c>
      <c r="P24" s="20" t="s">
        <v>86</v>
      </c>
    </row>
    <row r="25">
      <c r="A25" s="11">
        <f t="shared" si="13"/>
      </c>
      <c r="B25" s="11" t="s">
        <v>35</v>
      </c>
      <c r="C25" s="12">
        <v>46244</v>
      </c>
      <c r="D25" s="20" t="s">
        <v>87</v>
      </c>
      <c r="E25" s="14">
        <f t="shared" si="0"/>
      </c>
      <c r="F25" s="15">
        <v>0</v>
      </c>
      <c r="G25" s="11" t="s">
        <v>37</v>
      </c>
      <c r="H25" s="16" t="s">
        <v>38</v>
      </c>
      <c r="I25" s="17" t="s">
        <v>39</v>
      </c>
      <c r="J25" s="12">
        <f t="shared" si="5"/>
      </c>
      <c r="K25" s="18">
        <f>IFERROR(L25-2,I25)</f>
      </c>
      <c r="L25" s="12">
        <v>46255</v>
      </c>
      <c r="M25" s="13" t="s">
        <v>40</v>
      </c>
      <c r="P25" s="20" t="s">
        <v>88</v>
      </c>
    </row>
    <row r="26">
      <c r="A26" s="11">
        <f t="shared" si="13"/>
      </c>
      <c r="B26" s="11" t="s">
        <v>35</v>
      </c>
      <c r="C26" s="12">
        <v>46244</v>
      </c>
      <c r="D26" s="20" t="s">
        <v>89</v>
      </c>
      <c r="E26" s="14">
        <f t="shared" si="0"/>
      </c>
      <c r="F26" s="15">
        <v>0</v>
      </c>
      <c r="G26" s="11" t="s">
        <v>37</v>
      </c>
      <c r="H26" s="16" t="s">
        <v>38</v>
      </c>
      <c r="I26" s="17" t="s">
        <v>39</v>
      </c>
      <c r="J26" s="12">
        <f>IFERROR(C27+3,"")</f>
      </c>
      <c r="K26" s="18">
        <f t="shared" ref="K26:K91" si="11">IFERROR(L26-2,"")</f>
      </c>
      <c r="L26" s="12">
        <v>46254</v>
      </c>
      <c r="M26" s="13" t="s">
        <v>40</v>
      </c>
      <c r="P26" s="20" t="s">
        <v>90</v>
      </c>
    </row>
    <row r="27">
      <c r="A27" s="11">
        <f t="shared" si="13"/>
      </c>
      <c r="B27" s="11" t="s">
        <v>35</v>
      </c>
      <c r="C27" s="12">
        <v>46244</v>
      </c>
      <c r="D27" s="20" t="s">
        <v>91</v>
      </c>
      <c r="E27" s="14">
        <f t="shared" si="0"/>
      </c>
      <c r="F27" s="15">
        <v>0</v>
      </c>
      <c r="G27" s="11" t="s">
        <v>37</v>
      </c>
      <c r="H27" s="16" t="s">
        <v>38</v>
      </c>
      <c r="I27" s="17" t="s">
        <v>39</v>
      </c>
      <c r="J27" s="12">
        <f t="shared" ref="J27:J86" si="6">IFERROR(C27+3,"")</f>
      </c>
      <c r="K27" s="18">
        <f t="shared" si="11"/>
      </c>
      <c r="L27" s="12">
        <v>46255</v>
      </c>
      <c r="M27" s="13" t="s">
        <v>40</v>
      </c>
      <c r="P27" s="20" t="s">
        <v>92</v>
      </c>
    </row>
    <row r="28">
      <c r="A28" s="11">
        <f t="shared" si="13"/>
      </c>
      <c r="B28" s="11" t="s">
        <v>35</v>
      </c>
      <c r="C28" s="12">
        <v>46244</v>
      </c>
      <c r="D28" s="20" t="s">
        <v>93</v>
      </c>
      <c r="E28" s="14">
        <f t="shared" si="0"/>
      </c>
      <c r="F28" s="15">
        <v>0</v>
      </c>
      <c r="G28" s="11" t="s">
        <v>37</v>
      </c>
      <c r="H28" s="16" t="s">
        <v>38</v>
      </c>
      <c r="I28" s="17" t="s">
        <v>39</v>
      </c>
      <c r="J28" s="12">
        <f t="shared" si="6"/>
      </c>
      <c r="K28" s="18">
        <f t="shared" si="11"/>
      </c>
      <c r="L28" s="12">
        <v>46255</v>
      </c>
      <c r="M28" s="13" t="s">
        <v>40</v>
      </c>
      <c r="P28" s="20" t="s">
        <v>94</v>
      </c>
    </row>
    <row r="29">
      <c r="A29" s="11">
        <f t="shared" si="13"/>
      </c>
      <c r="B29" s="11" t="s">
        <v>35</v>
      </c>
      <c r="C29" s="12">
        <v>46244</v>
      </c>
      <c r="D29" s="20" t="s">
        <v>95</v>
      </c>
      <c r="E29" s="14">
        <f t="shared" si="0"/>
      </c>
      <c r="F29" s="15">
        <v>0</v>
      </c>
      <c r="G29" s="11" t="s">
        <v>37</v>
      </c>
      <c r="H29" s="16" t="s">
        <v>38</v>
      </c>
      <c r="I29" s="17" t="s">
        <v>39</v>
      </c>
      <c r="J29" s="12">
        <f t="shared" si="6"/>
      </c>
      <c r="K29" s="18">
        <f t="shared" si="11"/>
      </c>
      <c r="L29" s="12">
        <v>46254</v>
      </c>
      <c r="M29" s="13" t="s">
        <v>40</v>
      </c>
      <c r="P29" s="20" t="s">
        <v>96</v>
      </c>
    </row>
    <row r="30">
      <c r="A30" s="11">
        <f t="shared" si="13"/>
      </c>
      <c r="B30" s="11" t="s">
        <v>35</v>
      </c>
      <c r="C30" s="12">
        <v>46244</v>
      </c>
      <c r="D30" s="20" t="s">
        <v>97</v>
      </c>
      <c r="E30" s="14">
        <f t="shared" si="0"/>
      </c>
      <c r="F30" s="15">
        <v>0</v>
      </c>
      <c r="G30" s="11" t="s">
        <v>37</v>
      </c>
      <c r="H30" s="16" t="s">
        <v>38</v>
      </c>
      <c r="I30" s="17" t="s">
        <v>39</v>
      </c>
      <c r="J30" s="12">
        <f t="shared" si="6"/>
      </c>
      <c r="K30" s="18">
        <f t="shared" si="11"/>
      </c>
      <c r="L30" s="12">
        <v>46255</v>
      </c>
      <c r="M30" s="13" t="s">
        <v>51</v>
      </c>
      <c r="P30" s="20" t="s">
        <v>98</v>
      </c>
    </row>
    <row r="31">
      <c r="A31" s="11">
        <f t="shared" si="13"/>
      </c>
      <c r="B31" s="11" t="s">
        <v>35</v>
      </c>
      <c r="C31" s="12">
        <v>46244</v>
      </c>
      <c r="D31" s="20" t="s">
        <v>99</v>
      </c>
      <c r="E31" s="14">
        <f t="shared" si="0"/>
      </c>
      <c r="F31" s="15">
        <v>0</v>
      </c>
      <c r="G31" s="11" t="s">
        <v>37</v>
      </c>
      <c r="H31" s="16" t="s">
        <v>38</v>
      </c>
      <c r="I31" s="17" t="s">
        <v>39</v>
      </c>
      <c r="J31" s="12">
        <f t="shared" si="6"/>
      </c>
      <c r="K31" s="18">
        <f t="shared" si="11"/>
      </c>
      <c r="L31" s="12">
        <v>46254</v>
      </c>
      <c r="M31" s="13" t="s">
        <v>40</v>
      </c>
      <c r="P31" s="20" t="s">
        <v>100</v>
      </c>
    </row>
    <row r="32">
      <c r="A32" s="11">
        <f t="shared" si="13"/>
      </c>
      <c r="B32" s="11" t="s">
        <v>35</v>
      </c>
      <c r="C32" s="12">
        <v>46245</v>
      </c>
      <c r="D32" s="20" t="s">
        <v>101</v>
      </c>
      <c r="E32" s="14">
        <f t="shared" si="0"/>
      </c>
      <c r="F32" s="15">
        <v>0</v>
      </c>
      <c r="G32" s="11" t="s">
        <v>37</v>
      </c>
      <c r="H32" s="16" t="s">
        <v>38</v>
      </c>
      <c r="I32" s="17" t="s">
        <v>39</v>
      </c>
      <c r="J32" s="12">
        <f t="shared" si="6"/>
      </c>
      <c r="K32" s="18">
        <f t="shared" si="11"/>
      </c>
      <c r="L32" s="12">
        <v>46255</v>
      </c>
      <c r="M32" s="13" t="s">
        <v>40</v>
      </c>
      <c r="P32" s="20" t="s">
        <v>102</v>
      </c>
    </row>
    <row r="33">
      <c r="A33" s="11">
        <f t="shared" si="13"/>
      </c>
      <c r="B33" s="11" t="s">
        <v>35</v>
      </c>
      <c r="C33" s="12">
        <v>46245</v>
      </c>
      <c r="D33" s="20" t="s">
        <v>103</v>
      </c>
      <c r="E33" s="14">
        <f t="shared" si="0"/>
      </c>
      <c r="F33" s="15">
        <v>0</v>
      </c>
      <c r="G33" s="11" t="s">
        <v>37</v>
      </c>
      <c r="H33" s="16" t="s">
        <v>38</v>
      </c>
      <c r="I33" s="17" t="s">
        <v>39</v>
      </c>
      <c r="J33" s="12">
        <f t="shared" si="6"/>
      </c>
      <c r="K33" s="18">
        <f t="shared" si="11"/>
      </c>
      <c r="L33" s="12">
        <v>46256</v>
      </c>
      <c r="M33" s="13" t="s">
        <v>51</v>
      </c>
      <c r="P33" t="s">
        <v>104</v>
      </c>
    </row>
    <row r="34">
      <c r="A34" s="11">
        <f t="shared" si="13"/>
      </c>
      <c r="B34" s="11" t="s">
        <v>35</v>
      </c>
      <c r="C34" s="12">
        <v>46245</v>
      </c>
      <c r="D34" s="20" t="s">
        <v>105</v>
      </c>
      <c r="E34" s="14">
        <f t="shared" si="0"/>
      </c>
      <c r="F34" s="15">
        <v>0</v>
      </c>
      <c r="G34" s="11" t="s">
        <v>37</v>
      </c>
      <c r="H34" s="16" t="s">
        <v>38</v>
      </c>
      <c r="I34" s="17" t="s">
        <v>39</v>
      </c>
      <c r="J34" s="12">
        <f t="shared" si="6"/>
      </c>
      <c r="K34" s="18">
        <f t="shared" si="11"/>
      </c>
      <c r="L34" s="12">
        <v>46258</v>
      </c>
      <c r="M34" s="13" t="s">
        <v>40</v>
      </c>
      <c r="P34" s="20" t="s">
        <v>106</v>
      </c>
    </row>
    <row r="35">
      <c r="A35" s="11">
        <f t="shared" si="13"/>
      </c>
      <c r="B35" s="11" t="s">
        <v>35</v>
      </c>
      <c r="C35" s="12">
        <v>46247</v>
      </c>
      <c r="D35" s="20" t="s">
        <v>107</v>
      </c>
      <c r="E35" s="14">
        <f t="shared" si="0"/>
      </c>
      <c r="F35" s="15">
        <v>0</v>
      </c>
      <c r="G35" s="11" t="s">
        <v>37</v>
      </c>
      <c r="H35" s="16" t="s">
        <v>38</v>
      </c>
      <c r="I35" s="17" t="s">
        <v>39</v>
      </c>
      <c r="J35" s="12">
        <f t="shared" si="6"/>
      </c>
      <c r="K35" s="18">
        <f t="shared" si="11"/>
      </c>
      <c r="L35" s="12">
        <v>46258</v>
      </c>
      <c r="M35" s="13" t="s">
        <v>40</v>
      </c>
      <c r="P35" s="20" t="s">
        <v>108</v>
      </c>
    </row>
    <row r="36">
      <c r="A36" s="11">
        <f t="shared" si="13"/>
      </c>
      <c r="B36" s="11" t="s">
        <v>35</v>
      </c>
      <c r="C36" s="12">
        <v>46247</v>
      </c>
      <c r="D36" s="20" t="s">
        <v>109</v>
      </c>
      <c r="E36" s="14">
        <f t="shared" si="0"/>
      </c>
      <c r="F36" s="15">
        <v>0</v>
      </c>
      <c r="G36" s="11" t="s">
        <v>37</v>
      </c>
      <c r="H36" s="16" t="s">
        <v>38</v>
      </c>
      <c r="I36" s="17" t="s">
        <v>39</v>
      </c>
      <c r="J36" s="12">
        <f t="shared" si="6"/>
      </c>
      <c r="K36" s="18">
        <f t="shared" si="11"/>
      </c>
      <c r="L36" s="12">
        <v>46258</v>
      </c>
      <c r="M36" s="13" t="s">
        <v>40</v>
      </c>
      <c r="P36" s="20" t="s">
        <v>110</v>
      </c>
    </row>
    <row r="37">
      <c r="A37" s="11">
        <f t="shared" si="13"/>
      </c>
      <c r="B37" s="11" t="s">
        <v>35</v>
      </c>
      <c r="C37" s="12">
        <v>46247</v>
      </c>
      <c r="D37" s="20" t="s">
        <v>111</v>
      </c>
      <c r="E37" s="14">
        <f t="shared" si="0"/>
      </c>
      <c r="F37" s="15">
        <v>0</v>
      </c>
      <c r="G37" s="11" t="s">
        <v>37</v>
      </c>
      <c r="H37" s="16" t="s">
        <v>38</v>
      </c>
      <c r="I37" s="17" t="s">
        <v>39</v>
      </c>
      <c r="J37" s="12">
        <f t="shared" si="6"/>
      </c>
      <c r="K37" s="18">
        <f t="shared" si="11"/>
      </c>
      <c r="L37" s="12">
        <v>46256</v>
      </c>
      <c r="M37" s="13" t="s">
        <v>40</v>
      </c>
      <c r="P37" s="20" t="s">
        <v>112</v>
      </c>
    </row>
    <row r="38">
      <c r="A38" s="11">
        <f t="shared" si="13"/>
      </c>
      <c r="B38" s="11" t="s">
        <v>35</v>
      </c>
      <c r="C38" s="12">
        <v>46247</v>
      </c>
      <c r="D38" s="20" t="s">
        <v>113</v>
      </c>
      <c r="E38" s="14">
        <f t="shared" si="0"/>
      </c>
      <c r="F38" s="15">
        <v>0</v>
      </c>
      <c r="G38" s="11" t="s">
        <v>37</v>
      </c>
      <c r="H38" s="16" t="s">
        <v>38</v>
      </c>
      <c r="I38" s="17" t="s">
        <v>39</v>
      </c>
      <c r="J38" s="12">
        <f t="shared" si="6"/>
      </c>
      <c r="K38" s="18">
        <f t="shared" si="11"/>
      </c>
      <c r="L38" s="12">
        <v>46258</v>
      </c>
      <c r="M38" s="13" t="s">
        <v>51</v>
      </c>
      <c r="P38" s="20" t="s">
        <v>114</v>
      </c>
    </row>
    <row r="39">
      <c r="A39" s="11">
        <f t="shared" si="13"/>
      </c>
      <c r="B39" s="11" t="s">
        <v>35</v>
      </c>
      <c r="C39" s="12">
        <v>46247</v>
      </c>
      <c r="D39" s="20" t="s">
        <v>115</v>
      </c>
      <c r="E39" s="14">
        <f t="shared" si="0"/>
      </c>
      <c r="F39" s="15">
        <v>0</v>
      </c>
      <c r="G39" s="11" t="s">
        <v>37</v>
      </c>
      <c r="H39" s="16" t="s">
        <v>38</v>
      </c>
      <c r="I39" s="17" t="s">
        <v>39</v>
      </c>
      <c r="J39" s="12">
        <f t="shared" si="6"/>
      </c>
      <c r="K39" s="18">
        <f t="shared" si="11"/>
      </c>
      <c r="L39" s="12">
        <v>46258</v>
      </c>
      <c r="M39" s="13" t="s">
        <v>40</v>
      </c>
      <c r="P39" s="20" t="s">
        <v>116</v>
      </c>
    </row>
    <row r="40">
      <c r="A40" s="11">
        <f t="shared" si="13"/>
      </c>
      <c r="B40" s="11" t="s">
        <v>35</v>
      </c>
      <c r="C40" s="12">
        <v>46247</v>
      </c>
      <c r="D40" s="20" t="s">
        <v>117</v>
      </c>
      <c r="E40" s="14">
        <f t="shared" si="0"/>
      </c>
      <c r="F40" s="15">
        <v>0</v>
      </c>
      <c r="G40" s="11" t="s">
        <v>37</v>
      </c>
      <c r="H40" s="16" t="s">
        <v>38</v>
      </c>
      <c r="I40" s="17" t="s">
        <v>39</v>
      </c>
      <c r="J40" s="12">
        <f t="shared" si="6"/>
      </c>
      <c r="K40" s="18">
        <f t="shared" si="11"/>
      </c>
      <c r="L40" s="12">
        <v>46258</v>
      </c>
      <c r="M40" s="13" t="s">
        <v>40</v>
      </c>
      <c r="P40" s="20" t="s">
        <v>118</v>
      </c>
    </row>
    <row r="41">
      <c r="A41" s="11">
        <f t="shared" si="13"/>
      </c>
      <c r="B41" s="11" t="s">
        <v>35</v>
      </c>
      <c r="C41" s="12">
        <v>46247</v>
      </c>
      <c r="D41" s="20" t="s">
        <v>119</v>
      </c>
      <c r="E41" s="14">
        <f t="shared" si="0"/>
      </c>
      <c r="F41" s="15">
        <v>0</v>
      </c>
      <c r="G41" s="11" t="s">
        <v>37</v>
      </c>
      <c r="H41" s="16" t="s">
        <v>38</v>
      </c>
      <c r="I41" s="17" t="s">
        <v>39</v>
      </c>
      <c r="J41" s="12">
        <f t="shared" si="6"/>
      </c>
      <c r="K41" s="18">
        <f t="shared" si="11"/>
      </c>
      <c r="L41" s="12">
        <v>46258</v>
      </c>
      <c r="M41" s="13" t="s">
        <v>40</v>
      </c>
      <c r="P41" s="20" t="s">
        <v>120</v>
      </c>
    </row>
    <row r="42">
      <c r="A42" s="11">
        <f t="shared" si="13"/>
      </c>
      <c r="B42" s="11" t="s">
        <v>35</v>
      </c>
      <c r="C42" s="12">
        <v>46247</v>
      </c>
      <c r="D42" s="20" t="s">
        <v>121</v>
      </c>
      <c r="E42" s="14">
        <f t="shared" si="0"/>
      </c>
      <c r="F42" s="15">
        <v>0</v>
      </c>
      <c r="G42" s="11" t="s">
        <v>37</v>
      </c>
      <c r="H42" s="16" t="s">
        <v>38</v>
      </c>
      <c r="I42" s="17" t="s">
        <v>39</v>
      </c>
      <c r="J42" s="12">
        <f t="shared" si="6"/>
      </c>
      <c r="K42" s="18">
        <f t="shared" si="11"/>
      </c>
      <c r="L42" s="12">
        <v>46258</v>
      </c>
      <c r="M42" s="13" t="s">
        <v>40</v>
      </c>
      <c r="P42" s="20" t="s">
        <v>122</v>
      </c>
    </row>
    <row r="43">
      <c r="A43" s="11">
        <f t="shared" si="13"/>
      </c>
      <c r="B43" s="11" t="s">
        <v>35</v>
      </c>
      <c r="C43" s="12">
        <v>46247</v>
      </c>
      <c r="D43" s="20" t="s">
        <v>123</v>
      </c>
      <c r="E43" s="14">
        <f t="shared" si="0"/>
      </c>
      <c r="F43" s="15">
        <v>0</v>
      </c>
      <c r="G43" s="11" t="s">
        <v>37</v>
      </c>
      <c r="H43" s="16" t="s">
        <v>38</v>
      </c>
      <c r="I43" s="17" t="s">
        <v>39</v>
      </c>
      <c r="J43" s="12">
        <f t="shared" si="6"/>
      </c>
      <c r="K43" s="18">
        <f t="shared" si="11"/>
      </c>
      <c r="L43" s="12">
        <v>46258</v>
      </c>
      <c r="M43" s="13" t="s">
        <v>51</v>
      </c>
      <c r="P43" s="20" t="s">
        <v>124</v>
      </c>
    </row>
    <row r="44">
      <c r="A44" s="11">
        <f t="shared" si="13"/>
      </c>
      <c r="B44" s="11" t="s">
        <v>35</v>
      </c>
      <c r="C44" s="12">
        <v>46247</v>
      </c>
      <c r="D44" s="20" t="s">
        <v>125</v>
      </c>
      <c r="E44" s="14">
        <f t="shared" si="0"/>
      </c>
      <c r="F44" s="15">
        <v>0</v>
      </c>
      <c r="G44" s="11" t="s">
        <v>37</v>
      </c>
      <c r="H44" s="16" t="s">
        <v>38</v>
      </c>
      <c r="I44" s="17" t="s">
        <v>39</v>
      </c>
      <c r="J44" s="12">
        <f t="shared" si="6"/>
      </c>
      <c r="K44" s="18">
        <f t="shared" si="11"/>
      </c>
      <c r="L44" s="12">
        <v>46258</v>
      </c>
      <c r="M44" s="13" t="s">
        <v>40</v>
      </c>
      <c r="P44" s="20" t="s">
        <v>126</v>
      </c>
    </row>
    <row r="45">
      <c r="A45" s="11">
        <f t="shared" si="13"/>
      </c>
      <c r="B45" s="11" t="s">
        <v>35</v>
      </c>
      <c r="C45" s="12">
        <v>46247</v>
      </c>
      <c r="D45" s="20" t="s">
        <v>127</v>
      </c>
      <c r="E45" s="14">
        <f t="shared" si="0"/>
      </c>
      <c r="F45" s="15">
        <v>0</v>
      </c>
      <c r="G45" s="11" t="s">
        <v>37</v>
      </c>
      <c r="H45" s="16" t="s">
        <v>38</v>
      </c>
      <c r="I45" s="17" t="s">
        <v>39</v>
      </c>
      <c r="J45" s="12">
        <f t="shared" si="6"/>
      </c>
      <c r="K45" s="18">
        <f t="shared" si="11"/>
      </c>
      <c r="L45" s="12">
        <v>46256</v>
      </c>
      <c r="M45" s="13" t="s">
        <v>51</v>
      </c>
      <c r="P45" s="20" t="s">
        <v>128</v>
      </c>
    </row>
    <row r="46">
      <c r="A46" s="11">
        <f t="shared" si="13"/>
      </c>
      <c r="B46" s="11" t="s">
        <v>35</v>
      </c>
      <c r="C46" s="12">
        <v>46247</v>
      </c>
      <c r="D46" s="20" t="s">
        <v>129</v>
      </c>
      <c r="E46" s="14">
        <f t="shared" si="0"/>
      </c>
      <c r="F46" s="15">
        <v>0</v>
      </c>
      <c r="G46" s="11" t="s">
        <v>37</v>
      </c>
      <c r="H46" s="16" t="s">
        <v>38</v>
      </c>
      <c r="I46" s="17" t="s">
        <v>39</v>
      </c>
      <c r="J46" s="12">
        <f t="shared" si="6"/>
      </c>
      <c r="K46" s="18">
        <f t="shared" si="11"/>
      </c>
      <c r="L46" s="12">
        <v>46256</v>
      </c>
      <c r="M46" s="13" t="s">
        <v>40</v>
      </c>
      <c r="P46" s="20" t="s">
        <v>130</v>
      </c>
    </row>
    <row r="47">
      <c r="A47" s="11">
        <f t="shared" si="13"/>
      </c>
      <c r="B47" s="11" t="s">
        <v>35</v>
      </c>
      <c r="C47" s="12">
        <v>46247</v>
      </c>
      <c r="D47" s="20" t="s">
        <v>131</v>
      </c>
      <c r="E47" s="14">
        <f t="shared" si="0"/>
      </c>
      <c r="F47" s="15">
        <v>0</v>
      </c>
      <c r="G47" s="11" t="s">
        <v>37</v>
      </c>
      <c r="H47" s="16" t="s">
        <v>38</v>
      </c>
      <c r="I47" s="17" t="s">
        <v>39</v>
      </c>
      <c r="J47" s="12">
        <f t="shared" si="6"/>
      </c>
      <c r="K47" s="18">
        <f t="shared" si="11"/>
      </c>
      <c r="L47" s="12">
        <v>46256</v>
      </c>
      <c r="M47" s="13" t="s">
        <v>51</v>
      </c>
      <c r="P47" s="20" t="s">
        <v>132</v>
      </c>
    </row>
    <row r="48">
      <c r="A48" s="11">
        <f t="shared" si="13"/>
      </c>
      <c r="B48" s="11" t="s">
        <v>35</v>
      </c>
      <c r="C48" s="12">
        <v>46247</v>
      </c>
      <c r="D48" s="20" t="s">
        <v>133</v>
      </c>
      <c r="E48" s="14">
        <f t="shared" si="0"/>
      </c>
      <c r="F48" s="15">
        <v>0</v>
      </c>
      <c r="G48" s="11" t="s">
        <v>37</v>
      </c>
      <c r="H48" s="16" t="s">
        <v>38</v>
      </c>
      <c r="I48" s="17" t="s">
        <v>39</v>
      </c>
      <c r="J48" s="12">
        <f t="shared" si="6"/>
      </c>
      <c r="K48" s="18">
        <f t="shared" si="11"/>
      </c>
      <c r="L48" s="12">
        <v>46258</v>
      </c>
      <c r="M48" s="13" t="s">
        <v>40</v>
      </c>
      <c r="P48" s="20" t="s">
        <v>134</v>
      </c>
    </row>
    <row r="49">
      <c r="A49" s="11">
        <f t="shared" si="13"/>
      </c>
      <c r="B49" s="11" t="s">
        <v>35</v>
      </c>
      <c r="C49" s="12">
        <v>46248</v>
      </c>
      <c r="D49" s="20" t="s">
        <v>135</v>
      </c>
      <c r="E49" s="14" t="s">
        <v>136</v>
      </c>
      <c r="F49" s="15">
        <v>0</v>
      </c>
      <c r="G49" s="21">
        <v>0.08</v>
      </c>
      <c r="H49" s="16" t="s">
        <v>38</v>
      </c>
      <c r="I49" s="17" t="s">
        <v>39</v>
      </c>
      <c r="J49" s="12">
        <f t="shared" si="6"/>
      </c>
      <c r="K49" s="18">
        <f t="shared" si="11"/>
      </c>
      <c r="L49" s="12">
        <v>46258</v>
      </c>
      <c r="M49" s="13" t="s">
        <v>40</v>
      </c>
      <c r="P49" s="20" t="s">
        <v>137</v>
      </c>
    </row>
    <row r="50">
      <c r="A50" s="11">
        <f t="shared" si="13"/>
      </c>
      <c r="B50" s="11" t="s">
        <v>35</v>
      </c>
      <c r="C50" s="12">
        <v>46248</v>
      </c>
      <c r="D50" s="20" t="s">
        <v>138</v>
      </c>
      <c r="E50" s="14">
        <f t="shared" ref="E50:E118" si="1">HYPERLINK("https://www.tiktok.com/@"&amp;TRIM(D50))</f>
      </c>
      <c r="F50" s="15">
        <v>0</v>
      </c>
      <c r="G50" s="11" t="s">
        <v>37</v>
      </c>
      <c r="H50" s="16" t="s">
        <v>38</v>
      </c>
      <c r="I50" s="17" t="s">
        <v>39</v>
      </c>
      <c r="J50" s="12">
        <f t="shared" si="6"/>
      </c>
      <c r="K50" s="18">
        <f t="shared" si="11"/>
      </c>
      <c r="L50" s="12">
        <v>46259</v>
      </c>
      <c r="M50" s="13" t="s">
        <v>40</v>
      </c>
      <c r="P50" s="20" t="s">
        <v>139</v>
      </c>
    </row>
    <row r="51">
      <c r="A51" s="11">
        <f t="shared" si="13"/>
      </c>
      <c r="B51" s="11" t="s">
        <v>35</v>
      </c>
      <c r="C51" s="12">
        <v>46248</v>
      </c>
      <c r="D51" s="20" t="s">
        <v>140</v>
      </c>
      <c r="E51" s="14">
        <f t="shared" si="1"/>
      </c>
      <c r="F51" s="15">
        <v>0</v>
      </c>
      <c r="G51" s="11" t="s">
        <v>37</v>
      </c>
      <c r="H51" s="16" t="s">
        <v>38</v>
      </c>
      <c r="I51" s="17" t="s">
        <v>39</v>
      </c>
      <c r="J51" s="12">
        <f t="shared" si="6"/>
      </c>
      <c r="K51" s="18">
        <f t="shared" si="11"/>
      </c>
      <c r="L51" s="12">
        <v>46258</v>
      </c>
      <c r="M51" s="13" t="s">
        <v>40</v>
      </c>
      <c r="P51" s="20" t="s">
        <v>141</v>
      </c>
    </row>
    <row r="52">
      <c r="A52" s="11">
        <f t="shared" si="13"/>
      </c>
      <c r="B52" s="11" t="s">
        <v>35</v>
      </c>
      <c r="C52" s="12">
        <v>46248</v>
      </c>
      <c r="D52" s="20" t="s">
        <v>142</v>
      </c>
      <c r="E52" s="14">
        <f t="shared" si="1"/>
      </c>
      <c r="F52" s="13"/>
      <c r="G52" s="11" t="s">
        <v>37</v>
      </c>
      <c r="H52" s="16" t="s">
        <v>38</v>
      </c>
      <c r="I52" s="17" t="s">
        <v>39</v>
      </c>
      <c r="J52" s="12">
        <f t="shared" si="6"/>
      </c>
      <c r="K52" s="18">
        <f t="shared" si="11"/>
      </c>
      <c r="L52" s="12">
        <v>46258</v>
      </c>
      <c r="M52" s="13" t="s">
        <v>40</v>
      </c>
      <c r="P52" s="20" t="s">
        <v>143</v>
      </c>
    </row>
    <row r="53">
      <c r="A53" s="11">
        <f t="shared" si="13"/>
      </c>
      <c r="B53" s="11" t="s">
        <v>35</v>
      </c>
      <c r="C53" s="12">
        <v>46248</v>
      </c>
      <c r="D53" t="s">
        <v>144</v>
      </c>
      <c r="E53" s="14">
        <f t="shared" si="1"/>
      </c>
      <c r="F53" s="13"/>
      <c r="G53" s="11" t="s">
        <v>37</v>
      </c>
      <c r="H53" s="16" t="s">
        <v>38</v>
      </c>
      <c r="I53" s="17" t="s">
        <v>39</v>
      </c>
      <c r="J53" s="12">
        <f t="shared" si="6"/>
      </c>
      <c r="K53" s="18">
        <f t="shared" si="11"/>
      </c>
      <c r="L53" s="12">
        <v>46258</v>
      </c>
      <c r="M53" s="13" t="s">
        <v>40</v>
      </c>
      <c r="P53" s="20" t="s">
        <v>145</v>
      </c>
    </row>
    <row r="54">
      <c r="A54" s="11">
        <f t="shared" si="13"/>
      </c>
      <c r="B54" s="11" t="s">
        <v>35</v>
      </c>
      <c r="C54" s="12">
        <v>46248</v>
      </c>
      <c r="D54" s="20" t="s">
        <v>146</v>
      </c>
      <c r="E54" s="14">
        <f t="shared" si="1"/>
      </c>
      <c r="F54" s="13"/>
      <c r="G54" s="11" t="s">
        <v>37</v>
      </c>
      <c r="H54" s="16" t="s">
        <v>38</v>
      </c>
      <c r="I54" s="17" t="s">
        <v>39</v>
      </c>
      <c r="J54" s="12">
        <f t="shared" si="6"/>
      </c>
      <c r="K54" s="18">
        <f t="shared" si="11"/>
      </c>
      <c r="L54" s="12">
        <v>46259</v>
      </c>
      <c r="M54" s="13" t="s">
        <v>51</v>
      </c>
      <c r="P54" s="20" t="s">
        <v>147</v>
      </c>
      <c r="Q54" s="20"/>
      <c r="R54" s="20"/>
      <c r="S54" s="20"/>
      <c r="T54" s="20"/>
      <c r="U54" s="20"/>
    </row>
    <row r="55">
      <c r="A55" s="11">
        <f t="shared" si="13"/>
      </c>
      <c r="B55" s="11" t="s">
        <v>35</v>
      </c>
      <c r="C55" s="12">
        <v>46248</v>
      </c>
      <c r="D55" s="20" t="s">
        <v>148</v>
      </c>
      <c r="E55" s="14">
        <f t="shared" si="1"/>
      </c>
      <c r="F55" s="13"/>
      <c r="G55" s="11" t="s">
        <v>37</v>
      </c>
      <c r="H55" s="16" t="s">
        <v>38</v>
      </c>
      <c r="I55" s="17" t="s">
        <v>39</v>
      </c>
      <c r="J55" s="12">
        <f t="shared" si="6"/>
      </c>
      <c r="K55" s="18">
        <f t="shared" si="11"/>
      </c>
      <c r="L55" s="12">
        <v>46259</v>
      </c>
      <c r="M55" s="13" t="s">
        <v>51</v>
      </c>
      <c r="P55" s="20" t="s">
        <v>149</v>
      </c>
      <c r="Q55" s="20"/>
      <c r="R55" s="20"/>
      <c r="S55" s="20"/>
      <c r="T55" s="20"/>
      <c r="U55" s="20"/>
    </row>
    <row r="56">
      <c r="A56" s="11">
        <f t="shared" si="13"/>
      </c>
      <c r="B56" s="11" t="s">
        <v>35</v>
      </c>
      <c r="C56" s="12">
        <v>46249</v>
      </c>
      <c r="D56" s="20" t="s">
        <v>150</v>
      </c>
      <c r="E56" s="14">
        <f t="shared" si="1"/>
      </c>
      <c r="F56" s="13"/>
      <c r="G56" s="11" t="s">
        <v>37</v>
      </c>
      <c r="H56" s="16" t="s">
        <v>38</v>
      </c>
      <c r="I56" s="17" t="s">
        <v>39</v>
      </c>
      <c r="J56" s="12">
        <f t="shared" si="6"/>
      </c>
      <c r="K56" s="18">
        <f t="shared" si="11"/>
      </c>
      <c r="L56" s="12">
        <v>46259</v>
      </c>
      <c r="M56" s="13" t="s">
        <v>40</v>
      </c>
      <c r="P56" s="20" t="s">
        <v>151</v>
      </c>
      <c r="Q56" s="20"/>
      <c r="R56" s="20"/>
      <c r="S56" s="20"/>
      <c r="T56" s="20"/>
      <c r="U56" s="20"/>
    </row>
    <row r="57">
      <c r="A57" s="11">
        <f t="shared" si="13"/>
      </c>
      <c r="B57" s="11" t="s">
        <v>35</v>
      </c>
      <c r="C57" s="12">
        <v>46249</v>
      </c>
      <c r="D57" s="20" t="s">
        <v>152</v>
      </c>
      <c r="E57" s="14">
        <f t="shared" si="1"/>
      </c>
      <c r="F57" s="13"/>
      <c r="G57" s="11" t="s">
        <v>37</v>
      </c>
      <c r="H57" s="16" t="s">
        <v>38</v>
      </c>
      <c r="I57" s="17" t="s">
        <v>39</v>
      </c>
      <c r="J57" s="12">
        <f t="shared" si="6"/>
      </c>
      <c r="K57" s="18">
        <f t="shared" si="11"/>
      </c>
      <c r="L57" s="12">
        <v>46259</v>
      </c>
      <c r="M57" s="13" t="s">
        <v>40</v>
      </c>
      <c r="P57" s="20" t="s">
        <v>153</v>
      </c>
      <c r="Q57" s="20"/>
      <c r="R57" s="20"/>
      <c r="S57" s="20"/>
      <c r="T57" s="20"/>
      <c r="U57" s="20"/>
    </row>
    <row r="58">
      <c r="A58" s="11">
        <f t="shared" si="13"/>
      </c>
      <c r="B58" s="11" t="s">
        <v>35</v>
      </c>
      <c r="C58" s="12">
        <v>46249</v>
      </c>
      <c r="D58" s="20" t="s">
        <v>154</v>
      </c>
      <c r="E58" s="14">
        <f t="shared" si="1"/>
      </c>
      <c r="F58" s="13"/>
      <c r="G58" s="11" t="s">
        <v>37</v>
      </c>
      <c r="H58" s="16" t="s">
        <v>38</v>
      </c>
      <c r="I58" s="17" t="s">
        <v>39</v>
      </c>
      <c r="J58" s="12">
        <f t="shared" si="6"/>
      </c>
      <c r="K58" s="18">
        <f t="shared" si="11"/>
      </c>
      <c r="L58" s="12">
        <v>46259</v>
      </c>
      <c r="M58" s="13" t="s">
        <v>40</v>
      </c>
      <c r="P58" s="20" t="s">
        <v>155</v>
      </c>
      <c r="Q58" s="20"/>
      <c r="R58" s="20"/>
      <c r="S58" s="20"/>
      <c r="T58" s="20"/>
      <c r="U58" s="20"/>
    </row>
    <row r="59">
      <c r="A59" s="11">
        <f t="shared" si="13"/>
      </c>
      <c r="B59" s="11" t="s">
        <v>35</v>
      </c>
      <c r="C59" s="12">
        <v>46251</v>
      </c>
      <c r="D59" s="20" t="s">
        <v>156</v>
      </c>
      <c r="E59" s="14">
        <f t="shared" si="1"/>
      </c>
      <c r="F59" s="13"/>
      <c r="G59" s="11" t="s">
        <v>37</v>
      </c>
      <c r="H59" s="16" t="s">
        <v>38</v>
      </c>
      <c r="I59" s="17" t="s">
        <v>39</v>
      </c>
      <c r="J59" s="12">
        <f t="shared" si="6"/>
      </c>
      <c r="K59" s="18">
        <f t="shared" si="11"/>
      </c>
      <c r="L59" s="12">
        <v>46263</v>
      </c>
      <c r="M59" s="13" t="s">
        <v>40</v>
      </c>
      <c r="P59" s="20" t="s">
        <v>157</v>
      </c>
      <c r="Q59" s="20"/>
      <c r="R59" s="20"/>
      <c r="S59" s="20"/>
      <c r="T59" s="20"/>
      <c r="U59" s="20"/>
    </row>
    <row r="60">
      <c r="A60" s="11">
        <f t="shared" si="13"/>
      </c>
      <c r="B60" s="11" t="s">
        <v>35</v>
      </c>
      <c r="C60" s="12">
        <v>46251</v>
      </c>
      <c r="D60" s="20" t="s">
        <v>158</v>
      </c>
      <c r="E60" s="14">
        <f t="shared" si="1"/>
      </c>
      <c r="F60" s="13"/>
      <c r="G60" s="11" t="s">
        <v>37</v>
      </c>
      <c r="H60" s="16" t="s">
        <v>38</v>
      </c>
      <c r="I60" s="17" t="s">
        <v>39</v>
      </c>
      <c r="J60" s="12">
        <f t="shared" si="6"/>
      </c>
      <c r="K60" s="18">
        <f t="shared" si="11"/>
      </c>
      <c r="L60" s="12">
        <v>46263</v>
      </c>
      <c r="M60" s="13" t="s">
        <v>40</v>
      </c>
      <c r="P60" s="20" t="s">
        <v>159</v>
      </c>
      <c r="Q60" s="20"/>
      <c r="R60" s="20"/>
      <c r="S60" s="20"/>
      <c r="T60" s="20"/>
      <c r="U60" s="20"/>
    </row>
    <row r="61">
      <c r="A61" s="11">
        <f t="shared" si="13"/>
      </c>
      <c r="B61" s="11" t="s">
        <v>35</v>
      </c>
      <c r="C61" s="12">
        <v>46251</v>
      </c>
      <c r="D61" s="20" t="s">
        <v>160</v>
      </c>
      <c r="E61" s="14">
        <f t="shared" si="1"/>
      </c>
      <c r="F61" s="13"/>
      <c r="G61" s="11" t="s">
        <v>37</v>
      </c>
      <c r="H61" s="16" t="s">
        <v>38</v>
      </c>
      <c r="I61" s="17" t="s">
        <v>39</v>
      </c>
      <c r="J61" s="12">
        <f t="shared" si="6"/>
      </c>
      <c r="K61" s="18">
        <f t="shared" si="11"/>
      </c>
      <c r="L61" s="12">
        <v>46261</v>
      </c>
      <c r="M61" s="13" t="s">
        <v>40</v>
      </c>
      <c r="P61" s="20" t="s">
        <v>161</v>
      </c>
      <c r="Q61" s="20"/>
      <c r="R61" s="20"/>
      <c r="S61" s="20"/>
      <c r="T61" s="20"/>
      <c r="U61" s="20"/>
    </row>
    <row r="62">
      <c r="A62" s="11">
        <f t="shared" si="13"/>
      </c>
      <c r="B62" s="11" t="s">
        <v>35</v>
      </c>
      <c r="C62" s="12">
        <v>46251</v>
      </c>
      <c r="D62" s="22" t="s">
        <v>162</v>
      </c>
      <c r="E62" s="14">
        <f t="shared" si="1"/>
      </c>
      <c r="F62" s="13"/>
      <c r="G62" s="11" t="s">
        <v>37</v>
      </c>
      <c r="H62" s="16" t="s">
        <v>38</v>
      </c>
      <c r="I62" s="17" t="s">
        <v>39</v>
      </c>
      <c r="J62" s="12">
        <f t="shared" si="6"/>
      </c>
      <c r="K62" s="18">
        <f t="shared" si="11"/>
      </c>
      <c r="L62" s="12">
        <v>46263</v>
      </c>
      <c r="M62" s="13" t="s">
        <v>51</v>
      </c>
      <c r="P62" s="20" t="s">
        <v>163</v>
      </c>
      <c r="Q62" s="20"/>
      <c r="R62" s="20"/>
      <c r="S62" s="20"/>
      <c r="T62" s="20"/>
      <c r="U62" s="20"/>
    </row>
    <row r="63">
      <c r="A63" s="11">
        <f t="shared" si="13"/>
      </c>
      <c r="B63" s="11" t="s">
        <v>35</v>
      </c>
      <c r="C63" s="12">
        <v>46251</v>
      </c>
      <c r="D63" s="20" t="s">
        <v>164</v>
      </c>
      <c r="E63" s="14">
        <f t="shared" si="1"/>
      </c>
      <c r="F63" s="13"/>
      <c r="G63" s="11" t="s">
        <v>37</v>
      </c>
      <c r="H63" s="16" t="s">
        <v>38</v>
      </c>
      <c r="I63" s="17" t="s">
        <v>39</v>
      </c>
      <c r="J63" s="12">
        <f t="shared" si="6"/>
      </c>
      <c r="K63" s="18">
        <f t="shared" si="11"/>
      </c>
      <c r="L63" s="12">
        <v>46263</v>
      </c>
      <c r="M63" s="13" t="s">
        <v>51</v>
      </c>
      <c r="P63" s="20" t="s">
        <v>165</v>
      </c>
      <c r="Q63" s="20"/>
      <c r="R63" s="20"/>
      <c r="S63" s="20"/>
      <c r="T63" s="20"/>
      <c r="U63" s="20"/>
    </row>
    <row r="64">
      <c r="A64" s="11">
        <f t="shared" si="13"/>
      </c>
      <c r="B64" s="11" t="s">
        <v>35</v>
      </c>
      <c r="C64" s="12">
        <v>46251</v>
      </c>
      <c r="D64" s="20" t="s">
        <v>166</v>
      </c>
      <c r="E64" s="14">
        <f t="shared" si="1"/>
      </c>
      <c r="F64" s="13"/>
      <c r="G64" s="11" t="s">
        <v>37</v>
      </c>
      <c r="H64" s="16" t="s">
        <v>38</v>
      </c>
      <c r="I64" s="17" t="s">
        <v>39</v>
      </c>
      <c r="J64" s="12">
        <f t="shared" si="6"/>
      </c>
      <c r="K64" s="18">
        <f t="shared" si="11"/>
      </c>
      <c r="L64" s="12">
        <v>46263</v>
      </c>
      <c r="M64" s="13" t="s">
        <v>40</v>
      </c>
      <c r="P64" s="20" t="s">
        <v>167</v>
      </c>
      <c r="Q64" s="20"/>
      <c r="R64" s="20"/>
      <c r="S64" s="20"/>
      <c r="T64" s="20"/>
      <c r="U64" s="20"/>
    </row>
    <row r="65">
      <c r="A65" s="11">
        <f t="shared" si="13"/>
      </c>
      <c r="B65" s="11" t="s">
        <v>35</v>
      </c>
      <c r="C65" s="12">
        <v>46252</v>
      </c>
      <c r="D65" s="20" t="s">
        <v>168</v>
      </c>
      <c r="E65" s="14">
        <f t="shared" si="1"/>
      </c>
      <c r="F65" s="13"/>
      <c r="G65" s="11" t="s">
        <v>37</v>
      </c>
      <c r="H65" s="16" t="s">
        <v>38</v>
      </c>
      <c r="I65" s="17" t="s">
        <v>39</v>
      </c>
      <c r="J65" s="12">
        <f t="shared" si="6"/>
      </c>
      <c r="K65" s="18">
        <f t="shared" si="11"/>
      </c>
      <c r="L65" s="12">
        <v>46261</v>
      </c>
      <c r="M65" s="13" t="s">
        <v>40</v>
      </c>
      <c r="P65" s="20" t="s">
        <v>169</v>
      </c>
      <c r="Q65" s="20"/>
      <c r="R65" s="20"/>
      <c r="S65" s="20"/>
      <c r="T65" s="20"/>
      <c r="U65" s="20"/>
    </row>
    <row r="66">
      <c r="A66" s="11">
        <f t="shared" si="13"/>
      </c>
      <c r="B66" s="11" t="s">
        <v>35</v>
      </c>
      <c r="C66" s="12">
        <v>46252</v>
      </c>
      <c r="D66" s="20" t="s">
        <v>170</v>
      </c>
      <c r="E66" s="14">
        <f t="shared" si="1"/>
      </c>
      <c r="F66" s="13"/>
      <c r="G66" s="11" t="s">
        <v>37</v>
      </c>
      <c r="H66" s="16" t="s">
        <v>38</v>
      </c>
      <c r="I66" s="17" t="s">
        <v>39</v>
      </c>
      <c r="J66" s="12">
        <f t="shared" si="6"/>
      </c>
      <c r="K66" s="18">
        <f t="shared" si="11"/>
      </c>
      <c r="L66" s="12">
        <v>46261</v>
      </c>
      <c r="M66" s="13" t="s">
        <v>40</v>
      </c>
      <c r="P66" s="20" t="s">
        <v>171</v>
      </c>
      <c r="Q66" s="20"/>
      <c r="R66" s="20"/>
      <c r="S66" s="20"/>
      <c r="T66" s="20"/>
      <c r="U66" s="20"/>
    </row>
    <row r="67">
      <c r="A67" s="11">
        <f t="shared" si="13"/>
      </c>
      <c r="B67" s="11" t="s">
        <v>35</v>
      </c>
      <c r="C67" s="12">
        <v>46252</v>
      </c>
      <c r="D67" s="20" t="s">
        <v>172</v>
      </c>
      <c r="E67" s="14">
        <f t="shared" si="1"/>
      </c>
      <c r="F67" s="13"/>
      <c r="G67" s="11" t="s">
        <v>37</v>
      </c>
      <c r="H67" s="16" t="s">
        <v>38</v>
      </c>
      <c r="I67" s="23" t="s">
        <v>173</v>
      </c>
      <c r="J67" s="12">
        <f t="shared" si="6"/>
      </c>
      <c r="K67" s="18">
        <f t="shared" si="11"/>
      </c>
      <c r="L67" s="12">
        <v>46263</v>
      </c>
      <c r="M67" s="13" t="s">
        <v>40</v>
      </c>
      <c r="P67" s="20" t="s">
        <v>174</v>
      </c>
      <c r="Q67" s="20"/>
      <c r="R67" s="20"/>
      <c r="S67" s="20"/>
      <c r="T67" s="20"/>
      <c r="U67" s="20"/>
    </row>
    <row r="68">
      <c r="A68" s="11">
        <f t="shared" si="13"/>
      </c>
      <c r="B68" s="11" t="s">
        <v>35</v>
      </c>
      <c r="C68" s="12">
        <v>46252</v>
      </c>
      <c r="D68" s="20" t="s">
        <v>175</v>
      </c>
      <c r="E68" s="14">
        <f t="shared" si="1"/>
      </c>
      <c r="F68" s="13"/>
      <c r="G68" s="11" t="s">
        <v>37</v>
      </c>
      <c r="H68" s="16" t="s">
        <v>38</v>
      </c>
      <c r="I68" s="23" t="s">
        <v>173</v>
      </c>
      <c r="J68" s="12">
        <f t="shared" si="6"/>
      </c>
      <c r="K68" s="18">
        <f t="shared" si="11"/>
      </c>
      <c r="L68" s="12">
        <v>46261</v>
      </c>
      <c r="M68" s="13" t="s">
        <v>51</v>
      </c>
      <c r="P68" s="20" t="s">
        <v>176</v>
      </c>
      <c r="Q68" s="20"/>
      <c r="R68" s="20"/>
      <c r="S68" s="20"/>
      <c r="T68" s="20"/>
      <c r="U68" s="20"/>
    </row>
    <row r="69">
      <c r="A69" s="11">
        <f t="shared" si="13"/>
      </c>
      <c r="B69" s="11" t="s">
        <v>35</v>
      </c>
      <c r="C69" s="12">
        <v>46252</v>
      </c>
      <c r="D69" s="20" t="s">
        <v>177</v>
      </c>
      <c r="E69" s="14">
        <f t="shared" si="1"/>
      </c>
      <c r="F69" s="13"/>
      <c r="G69" s="11" t="s">
        <v>37</v>
      </c>
      <c r="H69" s="16" t="s">
        <v>38</v>
      </c>
      <c r="I69" s="17" t="s">
        <v>39</v>
      </c>
      <c r="J69" s="12">
        <f t="shared" si="6"/>
      </c>
      <c r="K69" s="18">
        <f t="shared" si="11"/>
      </c>
      <c r="L69" s="12">
        <v>46262</v>
      </c>
      <c r="M69" s="13" t="s">
        <v>51</v>
      </c>
      <c r="P69" s="20" t="s">
        <v>178</v>
      </c>
      <c r="Q69" s="20"/>
      <c r="R69" s="20"/>
      <c r="S69" s="20"/>
      <c r="T69" s="20"/>
      <c r="U69" s="20"/>
    </row>
    <row r="70">
      <c r="A70" s="11">
        <f t="shared" si="13"/>
      </c>
      <c r="B70" s="11" t="s">
        <v>35</v>
      </c>
      <c r="C70" s="12">
        <v>46253</v>
      </c>
      <c r="D70" s="20" t="s">
        <v>179</v>
      </c>
      <c r="E70" s="14">
        <f t="shared" si="1"/>
      </c>
      <c r="F70" s="13"/>
      <c r="G70" s="11" t="s">
        <v>37</v>
      </c>
      <c r="H70" s="16" t="s">
        <v>38</v>
      </c>
      <c r="I70" s="23" t="s">
        <v>173</v>
      </c>
      <c r="J70" s="12">
        <f t="shared" si="6"/>
      </c>
      <c r="K70" s="18">
        <f t="shared" si="11"/>
      </c>
      <c r="L70" s="12">
        <v>46265</v>
      </c>
      <c r="M70" s="13" t="s">
        <v>51</v>
      </c>
      <c r="P70" s="20" t="s">
        <v>180</v>
      </c>
    </row>
    <row r="71">
      <c r="A71" s="11">
        <f t="shared" si="13"/>
      </c>
      <c r="B71" s="11" t="s">
        <v>35</v>
      </c>
      <c r="C71" s="12">
        <v>46253</v>
      </c>
      <c r="D71" s="20" t="s">
        <v>181</v>
      </c>
      <c r="E71" s="14">
        <f t="shared" si="1"/>
      </c>
      <c r="F71" s="13"/>
      <c r="G71" s="11" t="s">
        <v>37</v>
      </c>
      <c r="H71" s="16" t="s">
        <v>38</v>
      </c>
      <c r="I71" s="17" t="s">
        <v>39</v>
      </c>
      <c r="J71" s="12">
        <f t="shared" si="6"/>
      </c>
      <c r="K71" s="18">
        <f t="shared" si="11"/>
      </c>
      <c r="L71" s="12">
        <v>46262</v>
      </c>
      <c r="M71" s="13" t="s">
        <v>40</v>
      </c>
      <c r="P71" s="20" t="s">
        <v>182</v>
      </c>
    </row>
    <row r="72">
      <c r="A72" s="11">
        <f t="shared" si="13"/>
      </c>
      <c r="B72" s="11" t="s">
        <v>35</v>
      </c>
      <c r="C72" s="12">
        <v>46253</v>
      </c>
      <c r="D72" s="20" t="s">
        <v>183</v>
      </c>
      <c r="E72" s="14">
        <f t="shared" si="1"/>
      </c>
      <c r="F72" s="13"/>
      <c r="G72" s="11" t="s">
        <v>184</v>
      </c>
      <c r="H72" s="16" t="s">
        <v>38</v>
      </c>
      <c r="I72" s="17" t="s">
        <v>185</v>
      </c>
      <c r="J72" s="12">
        <f t="shared" si="6"/>
      </c>
      <c r="K72" s="18">
        <f t="shared" si="11"/>
      </c>
      <c r="L72" s="12">
        <v>46264</v>
      </c>
      <c r="M72" s="13" t="s">
        <v>51</v>
      </c>
      <c r="P72" s="20" t="s">
        <v>186</v>
      </c>
    </row>
    <row r="73">
      <c r="A73" s="11">
        <f t="shared" si="13"/>
      </c>
      <c r="B73" s="11" t="s">
        <v>35</v>
      </c>
      <c r="C73" s="12">
        <v>46253</v>
      </c>
      <c r="D73" s="24" t="s">
        <v>187</v>
      </c>
      <c r="E73" s="14">
        <f t="shared" si="1"/>
      </c>
      <c r="F73" s="13"/>
      <c r="G73" s="11" t="s">
        <v>184</v>
      </c>
      <c r="H73" s="16" t="s">
        <v>38</v>
      </c>
      <c r="I73" s="17" t="s">
        <v>185</v>
      </c>
      <c r="J73" s="12">
        <f t="shared" si="6"/>
      </c>
      <c r="K73" s="18">
        <f t="shared" si="11"/>
      </c>
      <c r="L73" s="12">
        <v>46263</v>
      </c>
      <c r="M73" s="13" t="s">
        <v>51</v>
      </c>
      <c r="P73" s="20" t="s">
        <v>188</v>
      </c>
    </row>
    <row r="74">
      <c r="A74" s="11">
        <f t="shared" si="13"/>
      </c>
      <c r="B74" s="11" t="s">
        <v>35</v>
      </c>
      <c r="C74" s="12">
        <v>46253</v>
      </c>
      <c r="D74" s="20" t="s">
        <v>189</v>
      </c>
      <c r="E74" s="14">
        <f t="shared" si="1"/>
      </c>
      <c r="F74" s="13"/>
      <c r="G74" s="11" t="s">
        <v>184</v>
      </c>
      <c r="H74" s="16" t="s">
        <v>38</v>
      </c>
      <c r="I74" s="17" t="s">
        <v>190</v>
      </c>
      <c r="J74" s="12">
        <f t="shared" si="6"/>
      </c>
      <c r="K74" s="18">
        <f t="shared" si="11"/>
      </c>
      <c r="L74" s="12">
        <v>46265</v>
      </c>
      <c r="M74" s="13" t="s">
        <v>51</v>
      </c>
      <c r="P74" s="20" t="s">
        <v>191</v>
      </c>
    </row>
    <row r="75">
      <c r="A75" s="11">
        <f t="shared" si="13"/>
      </c>
      <c r="B75" s="11" t="s">
        <v>35</v>
      </c>
      <c r="C75" s="12">
        <v>46253</v>
      </c>
      <c r="D75" s="20" t="s">
        <v>192</v>
      </c>
      <c r="E75" s="14">
        <f t="shared" si="1"/>
      </c>
      <c r="F75" s="13"/>
      <c r="G75" s="11" t="s">
        <v>184</v>
      </c>
      <c r="H75" s="16" t="s">
        <v>38</v>
      </c>
      <c r="I75" s="17" t="s">
        <v>185</v>
      </c>
      <c r="J75" s="12">
        <f t="shared" si="6"/>
      </c>
      <c r="K75" s="18">
        <f t="shared" si="11"/>
      </c>
      <c r="L75" s="12">
        <v>46263</v>
      </c>
      <c r="M75" s="13" t="s">
        <v>40</v>
      </c>
      <c r="P75" s="20" t="s">
        <v>193</v>
      </c>
    </row>
    <row r="76">
      <c r="A76" s="11">
        <f t="shared" si="13"/>
      </c>
      <c r="B76" s="11" t="s">
        <v>35</v>
      </c>
      <c r="C76" s="12">
        <v>46254</v>
      </c>
      <c r="D76" s="20" t="s">
        <v>194</v>
      </c>
      <c r="E76" s="14">
        <f t="shared" si="1"/>
      </c>
      <c r="F76" s="13"/>
      <c r="G76" s="11" t="s">
        <v>184</v>
      </c>
      <c r="H76" s="16" t="s">
        <v>38</v>
      </c>
      <c r="I76" s="17" t="s">
        <v>185</v>
      </c>
      <c r="J76" s="12">
        <f t="shared" si="6"/>
      </c>
      <c r="K76" s="18">
        <f t="shared" si="11"/>
      </c>
      <c r="L76" s="12">
        <v>46264</v>
      </c>
      <c r="M76" s="13" t="s">
        <v>51</v>
      </c>
      <c r="P76" s="20" t="s">
        <v>195</v>
      </c>
    </row>
    <row r="77">
      <c r="A77" s="11">
        <f t="shared" si="13"/>
      </c>
      <c r="B77" s="11" t="s">
        <v>35</v>
      </c>
      <c r="C77" s="12">
        <v>46254</v>
      </c>
      <c r="D77" s="20" t="s">
        <v>196</v>
      </c>
      <c r="E77" s="14">
        <f t="shared" si="1"/>
      </c>
      <c r="F77" s="13"/>
      <c r="G77" s="11" t="s">
        <v>184</v>
      </c>
      <c r="H77" s="16" t="s">
        <v>38</v>
      </c>
      <c r="I77" s="17" t="s">
        <v>185</v>
      </c>
      <c r="J77" s="12">
        <f t="shared" si="6"/>
      </c>
      <c r="K77" s="18">
        <f t="shared" si="11"/>
      </c>
      <c r="L77" s="12">
        <v>46265</v>
      </c>
      <c r="M77" s="13" t="s">
        <v>40</v>
      </c>
      <c r="P77" s="20" t="s">
        <v>197</v>
      </c>
    </row>
    <row r="78">
      <c r="A78" s="11">
        <f t="shared" si="13"/>
      </c>
      <c r="B78" s="11" t="s">
        <v>35</v>
      </c>
      <c r="C78" s="12">
        <v>46254</v>
      </c>
      <c r="D78" s="20" t="s">
        <v>198</v>
      </c>
      <c r="E78" s="14">
        <f t="shared" si="1"/>
      </c>
      <c r="F78" s="13"/>
      <c r="G78" s="11" t="s">
        <v>184</v>
      </c>
      <c r="H78" s="16" t="s">
        <v>38</v>
      </c>
      <c r="I78" s="17" t="s">
        <v>185</v>
      </c>
      <c r="J78" s="12">
        <f t="shared" si="6"/>
      </c>
      <c r="K78" s="18">
        <f t="shared" si="11"/>
      </c>
      <c r="L78" s="12">
        <v>46264</v>
      </c>
      <c r="M78" s="13" t="s">
        <v>51</v>
      </c>
      <c r="P78" s="20" t="s">
        <v>199</v>
      </c>
    </row>
    <row r="79">
      <c r="A79" s="11">
        <f t="shared" si="13"/>
      </c>
      <c r="B79" s="11" t="s">
        <v>35</v>
      </c>
      <c r="C79" s="12">
        <v>46254</v>
      </c>
      <c r="D79" s="20" t="s">
        <v>200</v>
      </c>
      <c r="E79" s="14">
        <f t="shared" si="1"/>
      </c>
      <c r="F79" s="13"/>
      <c r="G79" s="11" t="s">
        <v>184</v>
      </c>
      <c r="H79" s="16" t="s">
        <v>38</v>
      </c>
      <c r="I79" s="17" t="s">
        <v>185</v>
      </c>
      <c r="J79" s="12">
        <f t="shared" si="6"/>
      </c>
      <c r="K79" s="18">
        <f t="shared" si="11"/>
      </c>
      <c r="L79" s="12">
        <v>46265</v>
      </c>
      <c r="M79" s="13" t="s">
        <v>40</v>
      </c>
      <c r="P79" s="20" t="s">
        <v>201</v>
      </c>
    </row>
    <row r="80">
      <c r="A80" s="11">
        <f t="shared" si="13"/>
      </c>
      <c r="B80" s="11" t="s">
        <v>35</v>
      </c>
      <c r="C80" s="12">
        <v>46254</v>
      </c>
      <c r="D80" s="20" t="s">
        <v>202</v>
      </c>
      <c r="E80" s="14">
        <f t="shared" si="1"/>
      </c>
      <c r="F80" s="13"/>
      <c r="G80" s="11" t="s">
        <v>184</v>
      </c>
      <c r="H80" s="16" t="s">
        <v>38</v>
      </c>
      <c r="I80" s="17" t="s">
        <v>185</v>
      </c>
      <c r="J80" s="12">
        <f t="shared" si="6"/>
      </c>
      <c r="K80" s="18">
        <f t="shared" si="11"/>
      </c>
      <c r="L80" s="12">
        <v>46265</v>
      </c>
      <c r="M80" s="13" t="s">
        <v>51</v>
      </c>
      <c r="P80" s="20" t="s">
        <v>203</v>
      </c>
    </row>
    <row r="81">
      <c r="A81" s="11">
        <f t="shared" si="13"/>
      </c>
      <c r="B81" s="11" t="s">
        <v>35</v>
      </c>
      <c r="C81" s="12">
        <v>46254</v>
      </c>
      <c r="D81" s="20" t="s">
        <v>204</v>
      </c>
      <c r="E81" s="14">
        <f t="shared" si="1"/>
      </c>
      <c r="F81" s="13"/>
      <c r="G81" s="11" t="s">
        <v>184</v>
      </c>
      <c r="H81" s="16" t="s">
        <v>38</v>
      </c>
      <c r="I81" s="17" t="s">
        <v>185</v>
      </c>
      <c r="J81" s="12">
        <f t="shared" si="6"/>
      </c>
      <c r="K81" s="18">
        <f t="shared" si="11"/>
      </c>
      <c r="L81" s="12">
        <v>46265</v>
      </c>
      <c r="M81" s="13" t="s">
        <v>40</v>
      </c>
      <c r="P81" s="20" t="s">
        <v>205</v>
      </c>
    </row>
    <row r="82">
      <c r="A82" s="11">
        <f t="shared" si="13"/>
      </c>
      <c r="B82" s="11" t="s">
        <v>35</v>
      </c>
      <c r="C82" s="12">
        <v>46255</v>
      </c>
      <c r="D82" s="20" t="s">
        <v>206</v>
      </c>
      <c r="E82" s="14">
        <f t="shared" si="1"/>
      </c>
      <c r="F82" s="13"/>
      <c r="G82" s="11" t="s">
        <v>37</v>
      </c>
      <c r="H82" s="16" t="s">
        <v>38</v>
      </c>
      <c r="I82" s="17" t="s">
        <v>39</v>
      </c>
      <c r="J82" s="12">
        <f t="shared" si="6"/>
      </c>
      <c r="K82" s="18">
        <f t="shared" si="11"/>
      </c>
      <c r="L82" s="12">
        <v>46265</v>
      </c>
      <c r="M82" s="13" t="s">
        <v>40</v>
      </c>
      <c r="P82" s="20" t="s">
        <v>207</v>
      </c>
    </row>
    <row r="83">
      <c r="A83" s="11">
        <f t="shared" si="13"/>
      </c>
      <c r="B83" s="11" t="s">
        <v>35</v>
      </c>
      <c r="C83" s="12">
        <v>46255</v>
      </c>
      <c r="D83" s="20" t="s">
        <v>208</v>
      </c>
      <c r="E83" s="14">
        <f t="shared" si="1"/>
      </c>
      <c r="F83" s="13"/>
      <c r="G83" s="11" t="s">
        <v>184</v>
      </c>
      <c r="H83" s="16" t="s">
        <v>38</v>
      </c>
      <c r="I83" s="17" t="s">
        <v>185</v>
      </c>
      <c r="J83" s="12">
        <f t="shared" si="6"/>
      </c>
      <c r="K83" s="18">
        <f t="shared" si="11"/>
      </c>
      <c r="L83" s="12">
        <v>46268</v>
      </c>
      <c r="M83" s="13" t="s">
        <v>51</v>
      </c>
      <c r="P83" s="20" t="s">
        <v>209</v>
      </c>
    </row>
    <row r="84">
      <c r="A84" s="11">
        <f t="shared" si="13"/>
      </c>
      <c r="B84" s="11" t="s">
        <v>35</v>
      </c>
      <c r="C84" s="12">
        <v>46255</v>
      </c>
      <c r="D84" s="20" t="s">
        <v>210</v>
      </c>
      <c r="E84" s="14">
        <f t="shared" si="1"/>
      </c>
      <c r="F84" s="13"/>
      <c r="G84" s="11" t="s">
        <v>37</v>
      </c>
      <c r="H84" s="16" t="s">
        <v>38</v>
      </c>
      <c r="I84" s="17" t="s">
        <v>39</v>
      </c>
      <c r="J84" s="12">
        <f t="shared" si="6"/>
      </c>
      <c r="K84" s="18">
        <f t="shared" si="11"/>
      </c>
      <c r="L84" s="12">
        <v>46268</v>
      </c>
      <c r="M84" s="13" t="s">
        <v>40</v>
      </c>
      <c r="P84" s="20" t="s">
        <v>211</v>
      </c>
    </row>
    <row r="85">
      <c r="A85" s="11">
        <f t="shared" si="13"/>
      </c>
      <c r="B85" s="11" t="s">
        <v>35</v>
      </c>
      <c r="C85" s="12">
        <v>46255</v>
      </c>
      <c r="D85" s="20" t="s">
        <v>212</v>
      </c>
      <c r="E85" s="14">
        <f t="shared" si="1"/>
      </c>
      <c r="F85" s="13"/>
      <c r="G85" s="11" t="s">
        <v>37</v>
      </c>
      <c r="H85" s="16" t="s">
        <v>38</v>
      </c>
      <c r="I85" s="17" t="s">
        <v>39</v>
      </c>
      <c r="J85" s="12">
        <f t="shared" si="6"/>
      </c>
      <c r="K85" s="18">
        <f t="shared" si="11"/>
      </c>
      <c r="L85" s="12">
        <v>46268</v>
      </c>
      <c r="M85" s="13" t="s">
        <v>40</v>
      </c>
      <c r="P85" s="20" t="s">
        <v>213</v>
      </c>
    </row>
    <row r="86">
      <c r="A86" s="11">
        <f t="shared" si="13"/>
      </c>
      <c r="B86" s="11" t="s">
        <v>35</v>
      </c>
      <c r="C86" s="12">
        <v>46256</v>
      </c>
      <c r="D86" s="20" t="s">
        <v>214</v>
      </c>
      <c r="E86" s="14">
        <f t="shared" si="1"/>
      </c>
      <c r="F86" s="13"/>
      <c r="G86" s="11" t="s">
        <v>37</v>
      </c>
      <c r="H86" s="16" t="s">
        <v>38</v>
      </c>
      <c r="I86" s="17" t="s">
        <v>173</v>
      </c>
      <c r="J86" s="12">
        <f t="shared" si="6"/>
      </c>
      <c r="K86" s="18">
        <f t="shared" si="11"/>
      </c>
      <c r="L86" s="12">
        <v>46268</v>
      </c>
      <c r="M86" s="13" t="s">
        <v>51</v>
      </c>
      <c r="P86" s="20" t="s">
        <v>215</v>
      </c>
    </row>
    <row r="87">
      <c r="A87" s="11">
        <f t="shared" si="13"/>
      </c>
      <c r="B87" s="11" t="s">
        <v>35</v>
      </c>
      <c r="C87" s="12">
        <v>46256</v>
      </c>
      <c r="D87" s="20" t="s">
        <v>216</v>
      </c>
      <c r="E87" s="14">
        <f t="shared" si="1"/>
      </c>
      <c r="F87" s="13"/>
      <c r="G87" s="11" t="s">
        <v>184</v>
      </c>
      <c r="H87" s="16" t="s">
        <v>38</v>
      </c>
      <c r="I87" s="17" t="s">
        <v>185</v>
      </c>
      <c r="J87" s="12">
        <f>IFERROR(C88+3,"")</f>
      </c>
      <c r="K87" s="18">
        <f t="shared" si="11"/>
      </c>
      <c r="L87" s="12">
        <v>46270</v>
      </c>
      <c r="M87" s="13" t="s">
        <v>40</v>
      </c>
      <c r="P87" s="20" t="s">
        <v>217</v>
      </c>
    </row>
    <row r="88">
      <c r="A88" s="11">
        <f t="shared" si="13"/>
      </c>
      <c r="B88" s="11" t="s">
        <v>35</v>
      </c>
      <c r="C88" s="12">
        <v>46256</v>
      </c>
      <c r="D88" s="20" t="s">
        <v>218</v>
      </c>
      <c r="E88" s="14">
        <f t="shared" si="1"/>
      </c>
      <c r="F88" s="13"/>
      <c r="G88" s="11" t="s">
        <v>184</v>
      </c>
      <c r="H88" s="16" t="s">
        <v>38</v>
      </c>
      <c r="I88" s="17" t="s">
        <v>185</v>
      </c>
      <c r="J88" s="12">
        <f t="shared" ref="J88:J91" si="7">IFERROR(C88+3,"")</f>
      </c>
      <c r="K88" s="18">
        <f t="shared" si="11"/>
      </c>
      <c r="L88" s="12">
        <v>46268</v>
      </c>
      <c r="M88" s="13" t="s">
        <v>51</v>
      </c>
      <c r="P88" s="20" t="s">
        <v>219</v>
      </c>
    </row>
    <row r="89">
      <c r="A89" s="11">
        <f t="shared" si="13"/>
      </c>
      <c r="B89" s="11" t="s">
        <v>35</v>
      </c>
      <c r="C89" s="12">
        <v>46256</v>
      </c>
      <c r="D89" s="20" t="s">
        <v>220</v>
      </c>
      <c r="E89" s="14">
        <f t="shared" si="1"/>
      </c>
      <c r="F89" s="13"/>
      <c r="G89" s="11" t="s">
        <v>184</v>
      </c>
      <c r="H89" s="16" t="s">
        <v>38</v>
      </c>
      <c r="I89" s="17" t="s">
        <v>185</v>
      </c>
      <c r="J89" s="12">
        <f t="shared" si="7"/>
      </c>
      <c r="K89" s="18">
        <f t="shared" si="11"/>
      </c>
      <c r="L89" s="12">
        <v>46268</v>
      </c>
      <c r="M89" s="13" t="s">
        <v>51</v>
      </c>
      <c r="P89" s="20" t="s">
        <v>221</v>
      </c>
    </row>
    <row r="90">
      <c r="A90" s="11">
        <f t="shared" si="13"/>
      </c>
      <c r="B90" s="11" t="s">
        <v>35</v>
      </c>
      <c r="C90" s="12">
        <v>46256</v>
      </c>
      <c r="D90" s="20" t="s">
        <v>222</v>
      </c>
      <c r="E90" s="14">
        <f t="shared" si="1"/>
      </c>
      <c r="F90" s="13"/>
      <c r="G90" s="11" t="s">
        <v>37</v>
      </c>
      <c r="H90" s="16" t="s">
        <v>38</v>
      </c>
      <c r="I90" s="17" t="s">
        <v>39</v>
      </c>
      <c r="J90" s="12">
        <f t="shared" si="7"/>
      </c>
      <c r="K90" s="18">
        <f t="shared" si="11"/>
      </c>
      <c r="L90" s="12">
        <v>46268</v>
      </c>
      <c r="M90" s="13" t="s">
        <v>40</v>
      </c>
      <c r="P90" s="20" t="s">
        <v>223</v>
      </c>
    </row>
    <row r="91">
      <c r="A91" s="11">
        <f t="shared" si="13"/>
      </c>
      <c r="B91" s="11" t="s">
        <v>35</v>
      </c>
      <c r="C91" s="12">
        <v>46258</v>
      </c>
      <c r="D91" s="25" t="s">
        <v>224</v>
      </c>
      <c r="E91" s="26">
        <f t="shared" si="1"/>
      </c>
      <c r="F91" s="13"/>
      <c r="G91" s="11" t="s">
        <v>37</v>
      </c>
      <c r="H91" s="16" t="s">
        <v>38</v>
      </c>
      <c r="I91" s="23" t="s">
        <v>173</v>
      </c>
      <c r="J91" s="12">
        <f t="shared" si="7"/>
      </c>
      <c r="K91" s="18">
        <f t="shared" si="11"/>
      </c>
      <c r="L91" s="12">
        <v>46268</v>
      </c>
      <c r="M91" s="13" t="s">
        <v>40</v>
      </c>
      <c r="P91" s="20" t="s">
        <v>225</v>
      </c>
    </row>
    <row customHeight="true" ht="16.071428571428573" r="92">
      <c r="A92" s="11"/>
      <c r="B92" s="11"/>
      <c r="C92" s="12"/>
      <c r="D92" s="27" t="s">
        <v>226</v>
      </c>
      <c r="E92" s="26">
        <f t="shared" si="1"/>
      </c>
      <c r="F92" s="13"/>
      <c r="G92" s="11" t="s">
        <v>37</v>
      </c>
      <c r="H92" s="16" t="s">
        <v>38</v>
      </c>
      <c r="I92" s="23" t="s">
        <v>173</v>
      </c>
      <c r="J92" s="12"/>
      <c r="K92" s="18"/>
      <c r="L92" s="12"/>
      <c r="M92" s="13"/>
      <c r="P92" s="20"/>
    </row>
    <row r="93">
      <c r="A93" s="11">
        <f>A91+1</f>
      </c>
      <c r="B93" s="11" t="s">
        <v>35</v>
      </c>
      <c r="C93" s="12">
        <v>46258</v>
      </c>
      <c r="D93" s="20" t="s">
        <v>227</v>
      </c>
      <c r="E93" s="14">
        <f t="shared" si="1"/>
      </c>
      <c r="F93" s="13"/>
      <c r="G93" s="11" t="s">
        <v>37</v>
      </c>
      <c r="H93" s="16" t="s">
        <v>38</v>
      </c>
      <c r="I93" s="17" t="s">
        <v>39</v>
      </c>
      <c r="J93" s="12">
        <f t="shared" ref="J93:J136" si="8">IFERROR(C93+3,"")</f>
      </c>
      <c r="K93" s="18">
        <f t="shared" ref="K93:K181" si="12">IFERROR(L93-2,"")</f>
      </c>
      <c r="L93" s="12">
        <v>46269</v>
      </c>
      <c r="M93" s="13" t="s">
        <v>40</v>
      </c>
      <c r="P93" s="20" t="s">
        <v>228</v>
      </c>
    </row>
    <row customHeight="true" ht="16.071428571428573" r="94">
      <c r="A94" s="11">
        <f t="shared" ref="A94:A181" si="14">A93+1</f>
      </c>
      <c r="B94" s="11" t="s">
        <v>35</v>
      </c>
      <c r="C94" s="12">
        <v>46258</v>
      </c>
      <c r="D94" s="20" t="s">
        <v>229</v>
      </c>
      <c r="E94" s="14">
        <f t="shared" si="1"/>
      </c>
      <c r="F94" s="13"/>
      <c r="G94" s="11" t="s">
        <v>37</v>
      </c>
      <c r="H94" s="16" t="s">
        <v>38</v>
      </c>
      <c r="I94" s="17" t="s">
        <v>39</v>
      </c>
      <c r="J94" s="12">
        <f t="shared" si="8"/>
      </c>
      <c r="K94" s="18">
        <f t="shared" si="12"/>
      </c>
      <c r="L94" s="12">
        <v>46270</v>
      </c>
      <c r="M94" s="13" t="s">
        <v>40</v>
      </c>
      <c r="P94" s="20" t="s">
        <v>230</v>
      </c>
    </row>
    <row r="95">
      <c r="A95" s="11">
        <f t="shared" si="14"/>
      </c>
      <c r="B95" s="11" t="s">
        <v>35</v>
      </c>
      <c r="C95" s="12">
        <v>46258</v>
      </c>
      <c r="D95" s="20" t="s">
        <v>231</v>
      </c>
      <c r="E95" s="14">
        <f t="shared" si="1"/>
      </c>
      <c r="F95" s="13"/>
      <c r="G95" s="11" t="s">
        <v>184</v>
      </c>
      <c r="H95" s="16" t="s">
        <v>38</v>
      </c>
      <c r="I95" s="17" t="s">
        <v>185</v>
      </c>
      <c r="J95" s="12">
        <f t="shared" si="8"/>
      </c>
      <c r="K95" s="18">
        <f t="shared" si="12"/>
      </c>
      <c r="L95" s="12">
        <v>46269</v>
      </c>
      <c r="M95" s="13" t="s">
        <v>51</v>
      </c>
      <c r="P95" s="20" t="s">
        <v>232</v>
      </c>
    </row>
    <row r="96">
      <c r="A96" s="11">
        <f t="shared" si="14"/>
      </c>
      <c r="B96" s="11" t="s">
        <v>35</v>
      </c>
      <c r="C96" s="12">
        <v>46258</v>
      </c>
      <c r="D96" s="20" t="s">
        <v>233</v>
      </c>
      <c r="E96" s="14">
        <f t="shared" si="1"/>
      </c>
      <c r="F96" s="13"/>
      <c r="G96" s="11" t="s">
        <v>37</v>
      </c>
      <c r="H96" s="16" t="s">
        <v>38</v>
      </c>
      <c r="I96" s="17" t="s">
        <v>39</v>
      </c>
      <c r="J96" s="12">
        <f t="shared" si="8"/>
      </c>
      <c r="K96" s="18">
        <f t="shared" si="12"/>
      </c>
      <c r="L96" s="12">
        <v>46270</v>
      </c>
      <c r="M96" s="13" t="s">
        <v>51</v>
      </c>
      <c r="P96" s="20" t="s">
        <v>234</v>
      </c>
    </row>
    <row r="97">
      <c r="A97" s="11">
        <f t="shared" si="14"/>
      </c>
      <c r="B97" s="11" t="s">
        <v>35</v>
      </c>
      <c r="C97" s="12">
        <v>46258</v>
      </c>
      <c r="D97" s="20" t="s">
        <v>235</v>
      </c>
      <c r="E97" s="14">
        <f t="shared" si="1"/>
      </c>
      <c r="F97" s="13"/>
      <c r="G97" s="11" t="s">
        <v>184</v>
      </c>
      <c r="H97" s="16" t="s">
        <v>38</v>
      </c>
      <c r="I97" s="17" t="s">
        <v>185</v>
      </c>
      <c r="J97" s="12">
        <f t="shared" si="8"/>
      </c>
      <c r="K97" s="18">
        <f t="shared" si="12"/>
      </c>
      <c r="L97" s="12">
        <v>46269</v>
      </c>
      <c r="M97" s="13" t="s">
        <v>40</v>
      </c>
      <c r="P97" s="20" t="s">
        <v>155</v>
      </c>
    </row>
    <row r="98">
      <c r="A98" s="11">
        <f t="shared" si="14"/>
      </c>
      <c r="B98" s="11" t="s">
        <v>35</v>
      </c>
      <c r="C98" s="12">
        <v>46259</v>
      </c>
      <c r="D98" s="20" t="s">
        <v>236</v>
      </c>
      <c r="E98" s="14">
        <f t="shared" si="1"/>
      </c>
      <c r="F98" s="13"/>
      <c r="G98" s="11" t="s">
        <v>37</v>
      </c>
      <c r="H98" s="16" t="s">
        <v>38</v>
      </c>
      <c r="I98" s="17" t="s">
        <v>39</v>
      </c>
      <c r="J98" s="12">
        <f t="shared" si="8"/>
      </c>
      <c r="K98" s="18">
        <f t="shared" si="12"/>
      </c>
      <c r="L98" s="12">
        <v>46269</v>
      </c>
      <c r="M98" s="13" t="s">
        <v>51</v>
      </c>
      <c r="P98" s="20" t="s">
        <v>237</v>
      </c>
    </row>
    <row r="99">
      <c r="A99" s="11">
        <f t="shared" si="14"/>
      </c>
      <c r="B99" s="11" t="s">
        <v>35</v>
      </c>
      <c r="C99" s="12">
        <v>46259</v>
      </c>
      <c r="D99" s="20" t="s">
        <v>238</v>
      </c>
      <c r="E99" s="14">
        <f t="shared" si="1"/>
      </c>
      <c r="F99" s="13"/>
      <c r="G99" s="15" t="s">
        <v>37</v>
      </c>
      <c r="H99" s="16" t="s">
        <v>38</v>
      </c>
      <c r="I99" s="17" t="s">
        <v>239</v>
      </c>
      <c r="J99" s="12">
        <f t="shared" si="8"/>
      </c>
      <c r="K99" s="18">
        <f t="shared" si="12"/>
      </c>
      <c r="L99" s="12">
        <v>46269</v>
      </c>
      <c r="M99" s="13" t="s">
        <v>40</v>
      </c>
      <c r="P99" s="20" t="s">
        <v>240</v>
      </c>
    </row>
    <row r="100">
      <c r="A100" s="11">
        <f t="shared" si="14"/>
      </c>
      <c r="B100" s="11" t="s">
        <v>35</v>
      </c>
      <c r="C100" s="12">
        <v>46259</v>
      </c>
      <c r="D100" s="20" t="s">
        <v>241</v>
      </c>
      <c r="E100" s="14">
        <f t="shared" si="1"/>
      </c>
      <c r="F100" s="13"/>
      <c r="G100" s="11" t="s">
        <v>184</v>
      </c>
      <c r="H100" s="16" t="s">
        <v>38</v>
      </c>
      <c r="I100" s="17" t="s">
        <v>185</v>
      </c>
      <c r="J100" s="12">
        <f t="shared" si="8"/>
      </c>
      <c r="K100" s="18">
        <f t="shared" si="12"/>
      </c>
      <c r="L100" s="12">
        <v>46269</v>
      </c>
      <c r="M100" s="13" t="s">
        <v>51</v>
      </c>
      <c r="P100" s="20" t="s">
        <v>242</v>
      </c>
    </row>
    <row r="101">
      <c r="A101" s="11">
        <f t="shared" si="14"/>
      </c>
      <c r="B101" s="11" t="s">
        <v>35</v>
      </c>
      <c r="C101" s="12">
        <v>46259</v>
      </c>
      <c r="D101" s="20" t="s">
        <v>243</v>
      </c>
      <c r="E101" s="14">
        <f t="shared" si="1"/>
      </c>
      <c r="F101" s="13"/>
      <c r="G101" s="15" t="s">
        <v>37</v>
      </c>
      <c r="H101" s="16" t="s">
        <v>38</v>
      </c>
      <c r="I101" s="17" t="s">
        <v>39</v>
      </c>
      <c r="J101" s="12">
        <f t="shared" si="8"/>
      </c>
      <c r="K101" s="18">
        <f t="shared" si="12"/>
      </c>
      <c r="L101" s="12">
        <v>46269</v>
      </c>
      <c r="M101" s="13" t="s">
        <v>51</v>
      </c>
      <c r="P101" s="20" t="s">
        <v>244</v>
      </c>
    </row>
    <row r="102">
      <c r="A102" s="11">
        <f t="shared" si="14"/>
      </c>
      <c r="B102" s="11" t="s">
        <v>35</v>
      </c>
      <c r="C102" s="12">
        <v>46260</v>
      </c>
      <c r="D102" s="20" t="s">
        <v>245</v>
      </c>
      <c r="E102" s="14">
        <f t="shared" si="1"/>
      </c>
      <c r="F102" s="13"/>
      <c r="G102" s="11" t="s">
        <v>184</v>
      </c>
      <c r="H102" s="16" t="s">
        <v>38</v>
      </c>
      <c r="I102" s="17" t="s">
        <v>185</v>
      </c>
      <c r="J102" s="12">
        <f t="shared" si="8"/>
      </c>
      <c r="K102" s="18">
        <f t="shared" si="12"/>
      </c>
      <c r="L102" s="12">
        <v>46270</v>
      </c>
      <c r="M102" s="13" t="s">
        <v>51</v>
      </c>
      <c r="P102" s="20" t="s">
        <v>246</v>
      </c>
    </row>
    <row r="103">
      <c r="A103" s="11">
        <f t="shared" si="14"/>
      </c>
      <c r="B103" s="11" t="s">
        <v>35</v>
      </c>
      <c r="C103" s="12">
        <v>46260</v>
      </c>
      <c r="D103" s="20" t="s">
        <v>247</v>
      </c>
      <c r="E103" s="14">
        <f t="shared" si="1"/>
      </c>
      <c r="F103" s="13"/>
      <c r="G103" s="15" t="s">
        <v>37</v>
      </c>
      <c r="H103" s="16" t="s">
        <v>38</v>
      </c>
      <c r="I103" s="17" t="s">
        <v>39</v>
      </c>
      <c r="J103" s="12">
        <f t="shared" si="8"/>
      </c>
      <c r="K103" s="18">
        <f t="shared" si="12"/>
      </c>
      <c r="L103" s="12">
        <v>46270</v>
      </c>
      <c r="M103" s="13" t="s">
        <v>51</v>
      </c>
      <c r="P103" s="20" t="s">
        <v>248</v>
      </c>
    </row>
    <row r="104">
      <c r="A104" s="11">
        <f t="shared" si="14"/>
      </c>
      <c r="B104" s="11" t="s">
        <v>35</v>
      </c>
      <c r="C104" s="12">
        <v>46260</v>
      </c>
      <c r="D104" s="20" t="s">
        <v>249</v>
      </c>
      <c r="E104" s="14">
        <f t="shared" si="1"/>
      </c>
      <c r="F104" s="13"/>
      <c r="G104" s="15" t="s">
        <v>37</v>
      </c>
      <c r="H104" s="16" t="s">
        <v>38</v>
      </c>
      <c r="I104" s="17" t="s">
        <v>39</v>
      </c>
      <c r="J104" s="12">
        <f t="shared" si="8"/>
      </c>
      <c r="K104" s="18">
        <f t="shared" si="12"/>
      </c>
      <c r="L104" s="12">
        <v>46270</v>
      </c>
      <c r="M104" s="13" t="s">
        <v>51</v>
      </c>
      <c r="P104" s="20" t="s">
        <v>250</v>
      </c>
    </row>
    <row r="105">
      <c r="A105" s="11">
        <f t="shared" si="14"/>
      </c>
      <c r="B105" s="11" t="s">
        <v>35</v>
      </c>
      <c r="C105" s="12">
        <v>46261</v>
      </c>
      <c r="D105" s="20" t="s">
        <v>251</v>
      </c>
      <c r="E105" s="14">
        <f t="shared" si="1"/>
      </c>
      <c r="F105" s="13"/>
      <c r="G105" s="11" t="s">
        <v>184</v>
      </c>
      <c r="H105" s="16" t="s">
        <v>38</v>
      </c>
      <c r="I105" s="17" t="s">
        <v>185</v>
      </c>
      <c r="J105" s="12">
        <f t="shared" si="8"/>
      </c>
      <c r="K105" s="18">
        <f t="shared" si="12"/>
      </c>
      <c r="L105" s="12">
        <v>46271</v>
      </c>
      <c r="M105" s="13" t="s">
        <v>51</v>
      </c>
      <c r="P105" s="20" t="s">
        <v>252</v>
      </c>
    </row>
    <row r="106">
      <c r="A106" s="11">
        <f t="shared" si="14"/>
      </c>
      <c r="B106" s="11" t="s">
        <v>35</v>
      </c>
      <c r="C106" s="12">
        <v>46261</v>
      </c>
      <c r="D106" s="20" t="s">
        <v>253</v>
      </c>
      <c r="E106" s="14">
        <f t="shared" si="1"/>
      </c>
      <c r="F106" s="13"/>
      <c r="G106" s="11" t="s">
        <v>184</v>
      </c>
      <c r="H106" s="16" t="s">
        <v>38</v>
      </c>
      <c r="I106" s="17" t="s">
        <v>185</v>
      </c>
      <c r="J106" s="12">
        <f t="shared" si="8"/>
      </c>
      <c r="K106" s="18">
        <f t="shared" si="12"/>
      </c>
      <c r="L106" s="12">
        <v>46271</v>
      </c>
      <c r="M106" s="13" t="s">
        <v>51</v>
      </c>
      <c r="P106" s="20" t="s">
        <v>254</v>
      </c>
    </row>
    <row r="107">
      <c r="A107" s="11">
        <f t="shared" si="14"/>
      </c>
      <c r="B107" s="11" t="s">
        <v>35</v>
      </c>
      <c r="C107" s="12">
        <v>46261</v>
      </c>
      <c r="D107" s="20" t="s">
        <v>255</v>
      </c>
      <c r="E107" s="14">
        <f t="shared" si="1"/>
      </c>
      <c r="F107" s="13"/>
      <c r="G107" s="11" t="s">
        <v>184</v>
      </c>
      <c r="H107" s="16" t="s">
        <v>38</v>
      </c>
      <c r="I107" s="17" t="s">
        <v>185</v>
      </c>
      <c r="J107" s="12">
        <f t="shared" si="8"/>
      </c>
      <c r="K107" s="18">
        <f t="shared" si="12"/>
      </c>
      <c r="L107" s="12">
        <v>46271</v>
      </c>
      <c r="M107" s="13" t="s">
        <v>51</v>
      </c>
      <c r="P107" s="20" t="s">
        <v>256</v>
      </c>
    </row>
    <row r="108">
      <c r="A108" s="11">
        <f t="shared" si="14"/>
      </c>
      <c r="B108" s="11" t="s">
        <v>35</v>
      </c>
      <c r="C108" s="12">
        <v>46262</v>
      </c>
      <c r="D108" s="20" t="s">
        <v>257</v>
      </c>
      <c r="E108" s="14">
        <f t="shared" si="1"/>
      </c>
      <c r="F108" s="13"/>
      <c r="G108" s="15" t="s">
        <v>37</v>
      </c>
      <c r="H108" s="16" t="s">
        <v>38</v>
      </c>
      <c r="I108" s="17" t="s">
        <v>39</v>
      </c>
      <c r="J108" s="12">
        <f t="shared" si="8"/>
      </c>
      <c r="K108" s="18">
        <f t="shared" si="12"/>
      </c>
      <c r="L108" s="12">
        <v>46271</v>
      </c>
      <c r="M108" s="13" t="s">
        <v>51</v>
      </c>
      <c r="P108" s="20" t="s">
        <v>258</v>
      </c>
    </row>
    <row r="109">
      <c r="A109" s="11">
        <f t="shared" si="14"/>
      </c>
      <c r="B109" s="11" t="s">
        <v>35</v>
      </c>
      <c r="C109" s="12">
        <v>46262</v>
      </c>
      <c r="D109" s="20" t="s">
        <v>259</v>
      </c>
      <c r="E109" s="14">
        <f t="shared" si="1"/>
      </c>
      <c r="F109" s="13"/>
      <c r="G109" s="11" t="s">
        <v>184</v>
      </c>
      <c r="H109" s="16" t="s">
        <v>38</v>
      </c>
      <c r="I109" s="17" t="s">
        <v>185</v>
      </c>
      <c r="J109" s="12">
        <f t="shared" si="8"/>
      </c>
      <c r="K109" s="18">
        <f t="shared" si="12"/>
      </c>
      <c r="L109" s="12">
        <v>46271</v>
      </c>
      <c r="M109" s="13" t="s">
        <v>40</v>
      </c>
      <c r="P109" s="20" t="s">
        <v>260</v>
      </c>
    </row>
    <row r="110">
      <c r="A110" s="11">
        <f t="shared" si="14"/>
      </c>
      <c r="B110" s="11" t="s">
        <v>35</v>
      </c>
      <c r="C110" s="12">
        <v>46262</v>
      </c>
      <c r="D110" s="20" t="s">
        <v>261</v>
      </c>
      <c r="E110" s="14">
        <f t="shared" si="1"/>
      </c>
      <c r="F110" s="13"/>
      <c r="G110" s="15" t="s">
        <v>37</v>
      </c>
      <c r="H110" s="16" t="s">
        <v>38</v>
      </c>
      <c r="I110" s="17" t="s">
        <v>39</v>
      </c>
      <c r="J110" s="12">
        <f t="shared" si="8"/>
      </c>
      <c r="K110" s="18">
        <f t="shared" si="12"/>
      </c>
      <c r="L110" s="12">
        <v>46273</v>
      </c>
      <c r="M110" s="13" t="s">
        <v>51</v>
      </c>
      <c r="P110" s="20" t="s">
        <v>262</v>
      </c>
    </row>
    <row r="111">
      <c r="A111" s="11">
        <f t="shared" si="14"/>
      </c>
      <c r="B111" s="11" t="s">
        <v>35</v>
      </c>
      <c r="C111" s="12">
        <v>46262</v>
      </c>
      <c r="D111" s="20" t="s">
        <v>263</v>
      </c>
      <c r="E111" s="14">
        <f t="shared" si="1"/>
      </c>
      <c r="F111" s="13"/>
      <c r="G111" s="11" t="s">
        <v>184</v>
      </c>
      <c r="H111" s="16" t="s">
        <v>38</v>
      </c>
      <c r="I111" s="17" t="s">
        <v>185</v>
      </c>
      <c r="J111" s="12">
        <f t="shared" si="8"/>
      </c>
      <c r="K111" s="18">
        <f t="shared" si="12"/>
      </c>
      <c r="L111" s="12">
        <v>46271</v>
      </c>
      <c r="M111" s="13" t="s">
        <v>51</v>
      </c>
      <c r="P111" s="20" t="s">
        <v>264</v>
      </c>
    </row>
    <row r="112">
      <c r="A112" s="11">
        <f t="shared" si="14"/>
      </c>
      <c r="B112" s="11" t="s">
        <v>35</v>
      </c>
      <c r="C112" s="12">
        <v>46262</v>
      </c>
      <c r="D112" s="20" t="s">
        <v>265</v>
      </c>
      <c r="E112" s="14">
        <f t="shared" si="1"/>
      </c>
      <c r="F112" s="13"/>
      <c r="G112" s="15" t="s">
        <v>37</v>
      </c>
      <c r="H112" s="16" t="s">
        <v>38</v>
      </c>
      <c r="I112" s="17" t="s">
        <v>39</v>
      </c>
      <c r="J112" s="12">
        <f t="shared" si="8"/>
      </c>
      <c r="K112" s="18">
        <f t="shared" si="12"/>
      </c>
      <c r="L112" s="12">
        <v>46271</v>
      </c>
      <c r="M112" s="13" t="s">
        <v>51</v>
      </c>
      <c r="P112" s="20" t="s">
        <v>266</v>
      </c>
    </row>
    <row r="113">
      <c r="A113" s="11">
        <f t="shared" si="14"/>
      </c>
      <c r="B113" s="11" t="s">
        <v>35</v>
      </c>
      <c r="C113" s="12">
        <v>46262</v>
      </c>
      <c r="D113" s="20" t="s">
        <v>267</v>
      </c>
      <c r="E113" s="14">
        <f t="shared" si="1"/>
      </c>
      <c r="F113" s="13"/>
      <c r="G113" s="15" t="s">
        <v>37</v>
      </c>
      <c r="H113" s="16" t="s">
        <v>38</v>
      </c>
      <c r="I113" s="17" t="s">
        <v>39</v>
      </c>
      <c r="J113" s="12">
        <f t="shared" si="8"/>
      </c>
      <c r="K113" s="18">
        <f t="shared" si="12"/>
      </c>
      <c r="L113" s="12">
        <v>46272</v>
      </c>
      <c r="M113" s="13" t="s">
        <v>40</v>
      </c>
      <c r="P113" s="20" t="s">
        <v>268</v>
      </c>
    </row>
    <row r="114">
      <c r="A114" s="11">
        <f t="shared" si="14"/>
      </c>
      <c r="B114" s="11" t="s">
        <v>35</v>
      </c>
      <c r="C114" s="12">
        <v>46262</v>
      </c>
      <c r="D114" s="20" t="s">
        <v>269</v>
      </c>
      <c r="E114" s="14">
        <f t="shared" si="1"/>
      </c>
      <c r="F114" s="13"/>
      <c r="G114" s="15" t="s">
        <v>37</v>
      </c>
      <c r="H114" s="16" t="s">
        <v>38</v>
      </c>
      <c r="I114" s="17" t="s">
        <v>39</v>
      </c>
      <c r="J114" s="12">
        <f t="shared" si="8"/>
      </c>
      <c r="K114" s="18">
        <f t="shared" si="12"/>
      </c>
      <c r="L114" s="12">
        <v>46272</v>
      </c>
      <c r="M114" s="13" t="s">
        <v>51</v>
      </c>
      <c r="P114" s="20" t="s">
        <v>270</v>
      </c>
    </row>
    <row r="115">
      <c r="A115" s="11">
        <f t="shared" si="14"/>
      </c>
      <c r="B115" s="11" t="s">
        <v>35</v>
      </c>
      <c r="C115" s="12">
        <v>46262</v>
      </c>
      <c r="D115" s="20" t="s">
        <v>271</v>
      </c>
      <c r="E115" s="14">
        <f t="shared" si="1"/>
      </c>
      <c r="F115" s="13"/>
      <c r="G115" s="15" t="s">
        <v>37</v>
      </c>
      <c r="H115" s="16" t="s">
        <v>38</v>
      </c>
      <c r="I115" s="17" t="s">
        <v>39</v>
      </c>
      <c r="J115" s="12">
        <f t="shared" si="8"/>
      </c>
      <c r="K115" s="18">
        <f t="shared" si="12"/>
      </c>
      <c r="L115" s="12">
        <v>46274</v>
      </c>
      <c r="M115" s="13" t="s">
        <v>51</v>
      </c>
      <c r="P115" s="20" t="s">
        <v>272</v>
      </c>
    </row>
    <row r="116">
      <c r="A116" s="11">
        <f t="shared" si="14"/>
      </c>
      <c r="B116" s="11" t="s">
        <v>35</v>
      </c>
      <c r="C116" s="12">
        <v>46263</v>
      </c>
      <c r="D116" s="20" t="s">
        <v>273</v>
      </c>
      <c r="E116" s="14">
        <f t="shared" si="1"/>
      </c>
      <c r="F116" s="13"/>
      <c r="G116" s="15" t="s">
        <v>37</v>
      </c>
      <c r="H116" s="16" t="s">
        <v>38</v>
      </c>
      <c r="I116" s="17" t="s">
        <v>39</v>
      </c>
      <c r="J116" s="12">
        <f t="shared" si="8"/>
      </c>
      <c r="K116" s="18">
        <f t="shared" si="12"/>
      </c>
      <c r="L116" s="12">
        <v>46274</v>
      </c>
      <c r="M116" s="13" t="s">
        <v>51</v>
      </c>
      <c r="N116" s="20" t="s">
        <v>274</v>
      </c>
      <c r="P116" s="20" t="s">
        <v>275</v>
      </c>
    </row>
    <row r="117">
      <c r="A117" s="11">
        <f t="shared" si="14"/>
      </c>
      <c r="B117" s="11" t="s">
        <v>35</v>
      </c>
      <c r="C117" s="12">
        <v>46263</v>
      </c>
      <c r="D117" s="20" t="s">
        <v>276</v>
      </c>
      <c r="E117" s="14">
        <f t="shared" si="1"/>
      </c>
      <c r="F117" s="13"/>
      <c r="G117" s="15" t="s">
        <v>37</v>
      </c>
      <c r="H117" s="16" t="s">
        <v>38</v>
      </c>
      <c r="I117" s="17" t="s">
        <v>39</v>
      </c>
      <c r="J117" s="12">
        <f t="shared" si="8"/>
      </c>
      <c r="K117" s="18">
        <f t="shared" si="12"/>
      </c>
      <c r="L117" s="12">
        <v>46276</v>
      </c>
      <c r="M117" s="13" t="s">
        <v>51</v>
      </c>
      <c r="N117" s="20" t="s">
        <v>277</v>
      </c>
      <c r="P117" s="20" t="s">
        <v>278</v>
      </c>
    </row>
    <row r="118">
      <c r="A118" s="11">
        <f t="shared" si="14"/>
      </c>
      <c r="B118" s="11" t="s">
        <v>35</v>
      </c>
      <c r="C118" s="12">
        <v>46263</v>
      </c>
      <c r="D118" s="20" t="s">
        <v>279</v>
      </c>
      <c r="E118" s="14">
        <f t="shared" si="1"/>
      </c>
      <c r="F118" s="13"/>
      <c r="G118" s="15" t="s">
        <v>37</v>
      </c>
      <c r="H118" s="16" t="s">
        <v>38</v>
      </c>
      <c r="I118" s="17" t="s">
        <v>39</v>
      </c>
      <c r="J118" s="12">
        <f t="shared" si="8"/>
      </c>
      <c r="K118" s="18">
        <f t="shared" si="12"/>
      </c>
      <c r="L118" s="12">
        <v>46276</v>
      </c>
      <c r="M118" s="13" t="s">
        <v>40</v>
      </c>
      <c r="N118" s="20" t="s">
        <v>280</v>
      </c>
      <c r="P118" s="20" t="s">
        <v>281</v>
      </c>
    </row>
    <row r="119">
      <c r="A119" s="11">
        <f t="shared" si="14"/>
      </c>
      <c r="B119" s="11" t="s">
        <v>35</v>
      </c>
      <c r="C119" s="12">
        <v>46263</v>
      </c>
      <c r="D119" s="20" t="s">
        <v>282</v>
      </c>
      <c r="E119" s="14"/>
      <c r="F119" s="13"/>
      <c r="G119" s="15" t="s">
        <v>37</v>
      </c>
      <c r="H119" s="16" t="s">
        <v>38</v>
      </c>
      <c r="I119" s="17" t="s">
        <v>39</v>
      </c>
      <c r="J119" s="12">
        <f t="shared" si="8"/>
      </c>
      <c r="K119" s="18">
        <f t="shared" si="12"/>
      </c>
      <c r="L119" s="12">
        <v>46274</v>
      </c>
      <c r="M119" s="13" t="s">
        <v>51</v>
      </c>
      <c r="P119" s="20" t="s">
        <v>283</v>
      </c>
    </row>
    <row r="120">
      <c r="A120" s="11">
        <f t="shared" si="14"/>
      </c>
      <c r="B120" s="11" t="s">
        <v>35</v>
      </c>
      <c r="C120" s="12">
        <v>46263</v>
      </c>
      <c r="D120" s="20" t="s">
        <v>284</v>
      </c>
      <c r="E120" s="14">
        <f t="shared" ref="E120:E181" si="2">HYPERLINK("https://www.tiktok.com/@"&amp;TRIM(D120))</f>
      </c>
      <c r="F120" s="13"/>
      <c r="G120" s="15" t="s">
        <v>37</v>
      </c>
      <c r="H120" s="16" t="s">
        <v>38</v>
      </c>
      <c r="I120" s="17" t="s">
        <v>39</v>
      </c>
      <c r="J120" s="12">
        <f t="shared" si="8"/>
      </c>
      <c r="K120" s="18">
        <f t="shared" si="12"/>
      </c>
      <c r="L120" s="12">
        <v>46274</v>
      </c>
      <c r="M120" s="13" t="s">
        <v>51</v>
      </c>
      <c r="N120" s="20" t="s">
        <v>285</v>
      </c>
      <c r="P120" s="20" t="s">
        <v>286</v>
      </c>
    </row>
    <row r="121">
      <c r="A121" s="11">
        <f t="shared" si="14"/>
      </c>
      <c r="B121" s="11" t="s">
        <v>35</v>
      </c>
      <c r="C121" s="12">
        <v>46263</v>
      </c>
      <c r="D121" s="20" t="s">
        <v>287</v>
      </c>
      <c r="E121" s="14">
        <f t="shared" si="2"/>
      </c>
      <c r="F121" s="13"/>
      <c r="G121" s="15" t="s">
        <v>37</v>
      </c>
      <c r="H121" s="16" t="s">
        <v>38</v>
      </c>
      <c r="I121" s="17" t="s">
        <v>39</v>
      </c>
      <c r="J121" s="12">
        <f t="shared" si="8"/>
      </c>
      <c r="K121" s="18">
        <f t="shared" si="12"/>
      </c>
      <c r="L121" s="12">
        <v>46274</v>
      </c>
      <c r="M121" s="13" t="s">
        <v>51</v>
      </c>
      <c r="N121" s="20" t="s">
        <v>288</v>
      </c>
      <c r="P121" s="20" t="s">
        <v>289</v>
      </c>
    </row>
    <row r="122">
      <c r="A122" s="11">
        <f t="shared" si="14"/>
      </c>
      <c r="B122" s="11" t="s">
        <v>35</v>
      </c>
      <c r="C122" s="12">
        <v>46263</v>
      </c>
      <c r="D122" s="20" t="s">
        <v>290</v>
      </c>
      <c r="E122" s="14">
        <f t="shared" si="2"/>
      </c>
      <c r="F122" s="13"/>
      <c r="G122" s="15" t="s">
        <v>37</v>
      </c>
      <c r="H122" s="16" t="s">
        <v>38</v>
      </c>
      <c r="I122" s="17" t="s">
        <v>39</v>
      </c>
      <c r="J122" s="12">
        <f t="shared" si="8"/>
      </c>
      <c r="K122" s="18">
        <f t="shared" si="12"/>
      </c>
      <c r="L122" s="12">
        <v>46274</v>
      </c>
      <c r="M122" s="13" t="s">
        <v>51</v>
      </c>
      <c r="N122" s="20" t="s">
        <v>274</v>
      </c>
      <c r="P122" s="20" t="s">
        <v>291</v>
      </c>
    </row>
    <row r="123">
      <c r="A123" s="11">
        <f t="shared" si="14"/>
      </c>
      <c r="B123" s="11" t="s">
        <v>35</v>
      </c>
      <c r="C123" s="12">
        <v>46263</v>
      </c>
      <c r="D123" s="20" t="s">
        <v>292</v>
      </c>
      <c r="E123" s="14">
        <f t="shared" si="2"/>
      </c>
      <c r="F123" s="13"/>
      <c r="G123" s="15" t="s">
        <v>37</v>
      </c>
      <c r="H123" s="16" t="s">
        <v>38</v>
      </c>
      <c r="I123" s="17" t="s">
        <v>39</v>
      </c>
      <c r="J123" s="12">
        <f t="shared" si="8"/>
      </c>
      <c r="K123" s="18">
        <f t="shared" si="12"/>
      </c>
      <c r="L123" s="12">
        <v>46275</v>
      </c>
      <c r="M123" s="13" t="s">
        <v>51</v>
      </c>
      <c r="N123" s="20" t="s">
        <v>288</v>
      </c>
      <c r="P123" s="20" t="s">
        <v>293</v>
      </c>
    </row>
    <row customHeight="true" ht="21.704140415910107" r="124">
      <c r="A124" s="11">
        <f t="shared" si="14"/>
      </c>
      <c r="B124" s="11" t="s">
        <v>35</v>
      </c>
      <c r="C124" s="12">
        <v>46263</v>
      </c>
      <c r="D124" s="20" t="s">
        <v>294</v>
      </c>
      <c r="E124" s="14">
        <f t="shared" si="2"/>
      </c>
      <c r="F124" s="13"/>
      <c r="G124" s="15" t="s">
        <v>37</v>
      </c>
      <c r="H124" s="16" t="s">
        <v>38</v>
      </c>
      <c r="I124" s="17" t="s">
        <v>39</v>
      </c>
      <c r="J124" s="12">
        <f t="shared" si="8"/>
      </c>
      <c r="K124" s="18">
        <f t="shared" si="12"/>
      </c>
      <c r="L124" s="12">
        <v>46276</v>
      </c>
      <c r="M124" s="13" t="s">
        <v>51</v>
      </c>
      <c r="N124" s="20" t="s">
        <v>295</v>
      </c>
      <c r="P124" s="20" t="s">
        <v>296</v>
      </c>
    </row>
    <row r="125">
      <c r="A125" s="11">
        <f t="shared" si="14"/>
      </c>
      <c r="B125" s="11" t="s">
        <v>35</v>
      </c>
      <c r="C125" s="12">
        <v>46263</v>
      </c>
      <c r="D125" s="20" t="s">
        <v>297</v>
      </c>
      <c r="E125" s="14">
        <f t="shared" si="2"/>
      </c>
      <c r="F125" s="13"/>
      <c r="G125" s="11" t="s">
        <v>184</v>
      </c>
      <c r="H125" s="16" t="s">
        <v>38</v>
      </c>
      <c r="I125" s="17" t="s">
        <v>185</v>
      </c>
      <c r="J125" s="12">
        <f t="shared" si="8"/>
      </c>
      <c r="K125" s="18">
        <f t="shared" si="12"/>
      </c>
      <c r="L125" s="12">
        <v>46275</v>
      </c>
      <c r="M125" s="13" t="s">
        <v>51</v>
      </c>
      <c r="N125" s="20" t="s">
        <v>298</v>
      </c>
      <c r="P125" s="20" t="s">
        <v>299</v>
      </c>
    </row>
    <row r="126">
      <c r="A126" s="11">
        <f t="shared" si="14"/>
      </c>
      <c r="B126" s="11" t="s">
        <v>35</v>
      </c>
      <c r="C126" s="12">
        <v>46265</v>
      </c>
      <c r="D126" s="20" t="s">
        <v>300</v>
      </c>
      <c r="E126" s="14">
        <f t="shared" si="2"/>
      </c>
      <c r="F126" s="13"/>
      <c r="G126" s="15" t="s">
        <v>37</v>
      </c>
      <c r="H126" s="16" t="s">
        <v>38</v>
      </c>
      <c r="I126" s="17" t="s">
        <v>39</v>
      </c>
      <c r="J126" s="12">
        <f t="shared" si="8"/>
      </c>
      <c r="K126" s="18">
        <f t="shared" si="12"/>
      </c>
      <c r="L126" s="12">
        <v>46274</v>
      </c>
      <c r="M126" s="13" t="s">
        <v>51</v>
      </c>
      <c r="N126" s="20" t="s">
        <v>301</v>
      </c>
      <c r="P126" s="20" t="s">
        <v>302</v>
      </c>
    </row>
    <row r="127">
      <c r="A127" s="11">
        <f t="shared" si="14"/>
      </c>
      <c r="B127" s="11" t="s">
        <v>35</v>
      </c>
      <c r="C127" s="12">
        <v>46265</v>
      </c>
      <c r="D127" s="20" t="s">
        <v>303</v>
      </c>
      <c r="E127" s="14">
        <f t="shared" si="2"/>
      </c>
      <c r="F127" s="13"/>
      <c r="G127" s="15" t="s">
        <v>37</v>
      </c>
      <c r="H127" s="16" t="s">
        <v>38</v>
      </c>
      <c r="I127" s="28" t="s">
        <v>39</v>
      </c>
      <c r="J127" s="12">
        <f t="shared" si="8"/>
      </c>
      <c r="K127" s="18">
        <f t="shared" si="12"/>
      </c>
      <c r="L127" s="12">
        <v>46276</v>
      </c>
      <c r="M127" s="13" t="s">
        <v>51</v>
      </c>
      <c r="N127" s="20" t="s">
        <v>304</v>
      </c>
      <c r="P127" s="20" t="s">
        <v>305</v>
      </c>
    </row>
    <row r="128">
      <c r="A128" s="11">
        <f t="shared" si="14"/>
      </c>
      <c r="B128" s="11" t="s">
        <v>35</v>
      </c>
      <c r="C128" s="12">
        <v>46265</v>
      </c>
      <c r="D128" s="20" t="s">
        <v>306</v>
      </c>
      <c r="E128" s="14">
        <f t="shared" si="2"/>
      </c>
      <c r="F128" s="13"/>
      <c r="G128" s="15" t="s">
        <v>37</v>
      </c>
      <c r="H128" s="16" t="s">
        <v>38</v>
      </c>
      <c r="I128" s="23" t="s">
        <v>307</v>
      </c>
      <c r="J128" s="12">
        <f t="shared" si="8"/>
      </c>
      <c r="K128" s="18">
        <f t="shared" si="12"/>
      </c>
      <c r="L128" s="12">
        <v>46276</v>
      </c>
      <c r="M128" s="13" t="s">
        <v>51</v>
      </c>
      <c r="N128" s="20" t="s">
        <v>308</v>
      </c>
      <c r="P128" s="20" t="s">
        <v>309</v>
      </c>
    </row>
    <row r="129">
      <c r="A129" s="11">
        <f t="shared" si="14"/>
      </c>
      <c r="B129" s="11" t="s">
        <v>310</v>
      </c>
      <c r="C129" s="12">
        <v>46268</v>
      </c>
      <c r="D129" s="20" t="s">
        <v>311</v>
      </c>
      <c r="E129" s="14">
        <f t="shared" si="2"/>
      </c>
      <c r="F129" s="13"/>
      <c r="G129" s="15" t="s">
        <v>37</v>
      </c>
      <c r="H129" s="16" t="s">
        <v>38</v>
      </c>
      <c r="I129" s="17" t="s">
        <v>39</v>
      </c>
      <c r="J129" s="12">
        <f t="shared" si="8"/>
      </c>
      <c r="K129" s="18">
        <f t="shared" si="12"/>
      </c>
      <c r="L129" s="12">
        <v>46279</v>
      </c>
      <c r="M129" s="13" t="s">
        <v>51</v>
      </c>
      <c r="N129" s="20" t="s">
        <v>312</v>
      </c>
      <c r="P129" s="20" t="s">
        <v>313</v>
      </c>
    </row>
    <row r="130">
      <c r="A130" s="11">
        <f t="shared" si="14"/>
      </c>
      <c r="B130" s="11" t="s">
        <v>310</v>
      </c>
      <c r="C130" s="12">
        <v>46268</v>
      </c>
      <c r="D130" s="20" t="s">
        <v>314</v>
      </c>
      <c r="E130" s="14">
        <f t="shared" si="2"/>
      </c>
      <c r="F130" s="13"/>
      <c r="G130" s="15" t="s">
        <v>37</v>
      </c>
      <c r="H130" s="16" t="s">
        <v>38</v>
      </c>
      <c r="I130" s="17" t="s">
        <v>39</v>
      </c>
      <c r="J130" s="12">
        <f t="shared" si="8"/>
      </c>
      <c r="K130" s="18">
        <f t="shared" si="12"/>
      </c>
      <c r="L130" s="12">
        <v>46277</v>
      </c>
      <c r="M130" s="13" t="s">
        <v>51</v>
      </c>
      <c r="N130" s="20" t="s">
        <v>315</v>
      </c>
      <c r="P130" s="20" t="s">
        <v>316</v>
      </c>
      <c r="Q130" s="20"/>
      <c r="R130" s="20"/>
      <c r="S130" s="20"/>
      <c r="T130" s="20"/>
      <c r="U130" s="20"/>
    </row>
    <row r="131">
      <c r="A131" s="11">
        <f t="shared" si="14"/>
      </c>
      <c r="B131" s="11" t="s">
        <v>310</v>
      </c>
      <c r="C131" s="12">
        <v>46268</v>
      </c>
      <c r="D131" t="s">
        <v>317</v>
      </c>
      <c r="E131" s="14">
        <f t="shared" si="2"/>
      </c>
      <c r="F131" s="13"/>
      <c r="G131" s="15" t="s">
        <v>37</v>
      </c>
      <c r="H131" s="16" t="s">
        <v>38</v>
      </c>
      <c r="I131" s="17" t="s">
        <v>39</v>
      </c>
      <c r="J131" s="12">
        <f t="shared" si="8"/>
      </c>
      <c r="K131" s="18">
        <f t="shared" si="12"/>
      </c>
      <c r="L131" s="12">
        <v>46279</v>
      </c>
      <c r="M131" s="13" t="s">
        <v>51</v>
      </c>
      <c r="N131" s="20" t="s">
        <v>318</v>
      </c>
      <c r="P131" s="20" t="s">
        <v>319</v>
      </c>
      <c r="Q131" s="20"/>
      <c r="R131" s="20"/>
      <c r="S131" s="20"/>
      <c r="T131" s="20"/>
      <c r="U131" s="20"/>
    </row>
    <row r="132">
      <c r="A132" s="11">
        <f t="shared" si="14"/>
      </c>
      <c r="B132" s="11" t="s">
        <v>310</v>
      </c>
      <c r="C132" s="12">
        <v>46268</v>
      </c>
      <c r="D132" s="20" t="s">
        <v>320</v>
      </c>
      <c r="E132" s="14">
        <f t="shared" si="2"/>
      </c>
      <c r="F132" s="13"/>
      <c r="G132" s="15" t="s">
        <v>37</v>
      </c>
      <c r="H132" s="16" t="s">
        <v>38</v>
      </c>
      <c r="I132" s="17" t="s">
        <v>39</v>
      </c>
      <c r="J132" s="12">
        <f t="shared" si="8"/>
      </c>
      <c r="K132" s="18">
        <f t="shared" si="12"/>
      </c>
      <c r="L132" s="12">
        <v>46277</v>
      </c>
      <c r="M132" s="13" t="s">
        <v>51</v>
      </c>
      <c r="N132" s="20" t="s">
        <v>318</v>
      </c>
      <c r="P132" s="20" t="s">
        <v>321</v>
      </c>
      <c r="Q132" s="20"/>
      <c r="R132" s="20"/>
      <c r="S132" s="20"/>
      <c r="T132" s="20"/>
      <c r="U132" s="20"/>
    </row>
    <row r="133">
      <c r="A133" s="11">
        <f t="shared" si="14"/>
      </c>
      <c r="B133" s="11" t="s">
        <v>310</v>
      </c>
      <c r="C133" s="12">
        <v>46268</v>
      </c>
      <c r="D133" t="s">
        <v>322</v>
      </c>
      <c r="E133" s="14">
        <f t="shared" si="2"/>
      </c>
      <c r="F133" s="13"/>
      <c r="G133" s="15" t="s">
        <v>323</v>
      </c>
      <c r="H133" s="16" t="s">
        <v>38</v>
      </c>
      <c r="I133" s="17" t="s">
        <v>39</v>
      </c>
      <c r="J133" s="12">
        <f t="shared" si="8"/>
      </c>
      <c r="K133" s="18">
        <f t="shared" si="12"/>
      </c>
      <c r="L133" s="12">
        <v>46279</v>
      </c>
      <c r="M133" s="13" t="s">
        <v>51</v>
      </c>
      <c r="N133" s="20" t="s">
        <v>298</v>
      </c>
      <c r="P133" s="20" t="s">
        <v>324</v>
      </c>
      <c r="Q133" s="20"/>
      <c r="R133" s="20"/>
      <c r="S133" s="20"/>
      <c r="T133" s="20"/>
      <c r="U133" s="20"/>
    </row>
    <row r="134">
      <c r="A134" s="11">
        <f t="shared" si="14"/>
      </c>
      <c r="B134" s="11" t="s">
        <v>310</v>
      </c>
      <c r="C134" s="12">
        <v>46269</v>
      </c>
      <c r="D134" s="20" t="s">
        <v>325</v>
      </c>
      <c r="E134" s="14">
        <f t="shared" si="2"/>
      </c>
      <c r="F134" s="13"/>
      <c r="G134" s="15" t="s">
        <v>37</v>
      </c>
      <c r="H134" s="16" t="s">
        <v>38</v>
      </c>
      <c r="I134" s="23" t="s">
        <v>307</v>
      </c>
      <c r="J134" s="12">
        <f t="shared" si="8"/>
      </c>
      <c r="K134" s="18">
        <f t="shared" si="12"/>
      </c>
      <c r="L134" s="12">
        <v>46279</v>
      </c>
      <c r="M134" s="13" t="s">
        <v>51</v>
      </c>
      <c r="N134" s="20" t="s">
        <v>326</v>
      </c>
      <c r="P134" s="20" t="s">
        <v>327</v>
      </c>
      <c r="Q134" s="20"/>
      <c r="R134" s="20"/>
      <c r="S134" s="20"/>
      <c r="T134" s="20"/>
      <c r="U134" s="20"/>
    </row>
    <row r="135">
      <c r="A135" s="11">
        <f t="shared" si="14"/>
      </c>
      <c r="B135" s="11" t="s">
        <v>310</v>
      </c>
      <c r="C135" s="12">
        <v>46272</v>
      </c>
      <c r="D135" s="20" t="s">
        <v>328</v>
      </c>
      <c r="E135" s="14">
        <f t="shared" si="2"/>
      </c>
      <c r="F135" s="13"/>
      <c r="G135" s="15" t="s">
        <v>37</v>
      </c>
      <c r="H135" s="16" t="s">
        <v>38</v>
      </c>
      <c r="I135" s="23" t="s">
        <v>307</v>
      </c>
      <c r="J135" s="12">
        <f t="shared" si="8"/>
      </c>
      <c r="K135" s="18">
        <f t="shared" si="12"/>
      </c>
      <c r="L135" s="12">
        <v>46284</v>
      </c>
      <c r="M135" s="13" t="s">
        <v>51</v>
      </c>
      <c r="N135" s="20" t="s">
        <v>326</v>
      </c>
      <c r="P135" s="20" t="s">
        <v>329</v>
      </c>
      <c r="Q135" s="20"/>
      <c r="R135" s="20"/>
      <c r="S135" s="20"/>
      <c r="T135" s="20"/>
      <c r="U135" s="20"/>
    </row>
    <row r="136">
      <c r="A136" s="11">
        <f t="shared" si="14"/>
      </c>
      <c r="B136" s="11" t="s">
        <v>310</v>
      </c>
      <c r="C136" s="12">
        <v>46272</v>
      </c>
      <c r="D136" s="20" t="s">
        <v>330</v>
      </c>
      <c r="E136" s="14">
        <f t="shared" si="2"/>
      </c>
      <c r="F136" s="13"/>
      <c r="G136" s="15" t="s">
        <v>37</v>
      </c>
      <c r="H136" s="16" t="s">
        <v>38</v>
      </c>
      <c r="I136" s="17" t="s">
        <v>39</v>
      </c>
      <c r="J136" s="12">
        <f t="shared" si="8"/>
      </c>
      <c r="K136" s="18">
        <f t="shared" si="12"/>
      </c>
      <c r="L136" s="29">
        <v>46281</v>
      </c>
      <c r="M136" s="13" t="s">
        <v>331</v>
      </c>
      <c r="N136" s="20" t="s">
        <v>332</v>
      </c>
      <c r="P136" s="20" t="s">
        <v>333</v>
      </c>
      <c r="Q136" s="20"/>
      <c r="R136" s="20"/>
      <c r="S136" s="20"/>
      <c r="T136" s="20"/>
      <c r="U136" s="20"/>
    </row>
    <row r="137">
      <c r="A137" s="11">
        <f t="shared" si="14"/>
      </c>
      <c r="B137" s="11" t="s">
        <v>310</v>
      </c>
      <c r="C137" s="12">
        <v>46272</v>
      </c>
      <c r="D137" s="20" t="s">
        <v>334</v>
      </c>
      <c r="E137" s="14">
        <f t="shared" si="2"/>
      </c>
      <c r="F137" s="13"/>
      <c r="G137" s="15" t="s">
        <v>37</v>
      </c>
      <c r="H137" s="16" t="s">
        <v>38</v>
      </c>
      <c r="I137" s="17" t="s">
        <v>39</v>
      </c>
      <c r="J137" s="12">
        <f>IFERROR(C138+3,"")</f>
      </c>
      <c r="K137" s="18">
        <f t="shared" si="12"/>
      </c>
      <c r="L137" s="29">
        <v>46281</v>
      </c>
      <c r="M137" s="13" t="s">
        <v>51</v>
      </c>
      <c r="N137" s="20" t="s">
        <v>332</v>
      </c>
      <c r="P137" s="20" t="s">
        <v>335</v>
      </c>
      <c r="Q137" s="20"/>
      <c r="R137" s="20"/>
      <c r="S137" s="20"/>
      <c r="T137" s="20"/>
      <c r="U137" s="20"/>
    </row>
    <row r="138">
      <c r="A138" s="11">
        <f t="shared" si="14"/>
      </c>
      <c r="B138" s="11" t="s">
        <v>310</v>
      </c>
      <c r="C138" s="12">
        <v>46272</v>
      </c>
      <c r="D138" s="20" t="s">
        <v>336</v>
      </c>
      <c r="E138" s="14">
        <f t="shared" si="2"/>
      </c>
      <c r="F138" s="13"/>
      <c r="G138" s="15" t="s">
        <v>37</v>
      </c>
      <c r="H138" s="16" t="s">
        <v>38</v>
      </c>
      <c r="I138" s="17" t="s">
        <v>39</v>
      </c>
      <c r="J138" s="12">
        <f t="shared" ref="J138:J181" si="9">IFERROR(C138+3,"")</f>
      </c>
      <c r="K138" s="18">
        <f t="shared" si="12"/>
      </c>
      <c r="L138" s="29">
        <v>46281</v>
      </c>
      <c r="M138" s="13" t="s">
        <v>51</v>
      </c>
      <c r="N138" s="20" t="s">
        <v>295</v>
      </c>
      <c r="P138" s="20" t="s">
        <v>337</v>
      </c>
      <c r="Q138" s="20"/>
      <c r="R138" s="20"/>
      <c r="S138" s="20"/>
      <c r="T138" s="20"/>
      <c r="U138" s="20"/>
    </row>
    <row r="139">
      <c r="A139" s="11">
        <f t="shared" si="14"/>
      </c>
      <c r="B139" s="11" t="s">
        <v>310</v>
      </c>
      <c r="C139" s="12">
        <v>46272</v>
      </c>
      <c r="D139" s="20" t="s">
        <v>338</v>
      </c>
      <c r="E139" s="14">
        <f t="shared" si="2"/>
      </c>
      <c r="F139" s="13"/>
      <c r="G139" s="15" t="s">
        <v>37</v>
      </c>
      <c r="H139" s="16" t="s">
        <v>38</v>
      </c>
      <c r="I139" s="17" t="s">
        <v>39</v>
      </c>
      <c r="J139" s="12">
        <f t="shared" si="9"/>
      </c>
      <c r="K139" s="18">
        <f t="shared" si="12"/>
      </c>
      <c r="L139" s="29">
        <v>46282</v>
      </c>
      <c r="M139" s="13" t="s">
        <v>51</v>
      </c>
      <c r="N139" s="20" t="s">
        <v>339</v>
      </c>
      <c r="O139" s="20"/>
      <c r="P139" s="20" t="s">
        <v>340</v>
      </c>
      <c r="Q139" s="20"/>
      <c r="R139" s="20"/>
      <c r="S139" s="20"/>
      <c r="T139" s="20"/>
      <c r="U139" s="20"/>
    </row>
    <row r="140">
      <c r="A140" s="11">
        <f t="shared" si="14"/>
      </c>
      <c r="B140" s="11" t="s">
        <v>310</v>
      </c>
      <c r="C140" s="12">
        <v>46272</v>
      </c>
      <c r="D140" s="20" t="s">
        <v>341</v>
      </c>
      <c r="E140" s="14">
        <f t="shared" si="2"/>
      </c>
      <c r="F140" s="13"/>
      <c r="G140" s="15" t="s">
        <v>37</v>
      </c>
      <c r="H140" s="16" t="s">
        <v>38</v>
      </c>
      <c r="I140" s="17" t="s">
        <v>39</v>
      </c>
      <c r="J140" s="12">
        <f t="shared" si="9"/>
      </c>
      <c r="K140" s="18">
        <f t="shared" si="12"/>
      </c>
      <c r="L140" s="29">
        <v>46283</v>
      </c>
      <c r="M140" s="13" t="s">
        <v>51</v>
      </c>
      <c r="N140" s="20" t="s">
        <v>342</v>
      </c>
      <c r="O140" s="20"/>
      <c r="P140" s="20" t="s">
        <v>343</v>
      </c>
      <c r="Q140" s="20"/>
      <c r="R140" s="20"/>
      <c r="S140" s="20"/>
      <c r="T140" s="20"/>
      <c r="U140" s="20"/>
    </row>
    <row r="141">
      <c r="A141" s="11">
        <f t="shared" si="14"/>
      </c>
      <c r="B141" s="11" t="s">
        <v>310</v>
      </c>
      <c r="C141" s="12">
        <v>46273</v>
      </c>
      <c r="D141" s="20" t="s">
        <v>344</v>
      </c>
      <c r="E141" s="14">
        <f t="shared" si="2"/>
      </c>
      <c r="F141" s="13"/>
      <c r="G141" s="15" t="s">
        <v>37</v>
      </c>
      <c r="H141" s="16" t="s">
        <v>38</v>
      </c>
      <c r="I141" s="17" t="s">
        <v>39</v>
      </c>
      <c r="J141" s="12">
        <f t="shared" si="9"/>
      </c>
      <c r="K141" s="18">
        <f t="shared" si="12"/>
      </c>
      <c r="L141" s="29">
        <v>46284</v>
      </c>
      <c r="M141" s="13" t="s">
        <v>51</v>
      </c>
      <c r="N141" s="20" t="s">
        <v>345</v>
      </c>
      <c r="O141" s="20"/>
      <c r="P141" s="20" t="s">
        <v>346</v>
      </c>
      <c r="Q141" s="20"/>
      <c r="R141" s="20"/>
      <c r="S141" s="20"/>
      <c r="T141" s="20"/>
      <c r="U141" s="20"/>
    </row>
    <row r="142">
      <c r="A142" s="11">
        <f t="shared" si="14"/>
      </c>
      <c r="B142" s="11" t="s">
        <v>310</v>
      </c>
      <c r="C142" s="12">
        <v>46273</v>
      </c>
      <c r="D142" s="22" t="s">
        <v>347</v>
      </c>
      <c r="E142" s="14">
        <f t="shared" si="2"/>
      </c>
      <c r="F142" s="13"/>
      <c r="G142" s="15" t="s">
        <v>37</v>
      </c>
      <c r="H142" s="16" t="s">
        <v>38</v>
      </c>
      <c r="I142" s="17" t="s">
        <v>39</v>
      </c>
      <c r="J142" s="12">
        <f t="shared" si="9"/>
      </c>
      <c r="K142" s="18">
        <f t="shared" si="12"/>
      </c>
      <c r="L142" s="29">
        <v>46283</v>
      </c>
      <c r="M142" s="13" t="s">
        <v>331</v>
      </c>
      <c r="N142" s="20" t="s">
        <v>304</v>
      </c>
      <c r="O142" s="20"/>
      <c r="P142" s="20" t="s">
        <v>348</v>
      </c>
      <c r="Q142" s="20"/>
      <c r="R142" s="20"/>
      <c r="S142" s="20"/>
      <c r="T142" s="20"/>
      <c r="U142" s="20"/>
    </row>
    <row r="143">
      <c r="A143" s="11">
        <f t="shared" si="14"/>
      </c>
      <c r="B143" s="11" t="s">
        <v>310</v>
      </c>
      <c r="C143" s="12">
        <v>46273</v>
      </c>
      <c r="D143" s="20" t="s">
        <v>349</v>
      </c>
      <c r="E143" s="14">
        <f t="shared" si="2"/>
      </c>
      <c r="F143" s="13"/>
      <c r="G143" s="15" t="s">
        <v>37</v>
      </c>
      <c r="H143" s="16" t="s">
        <v>38</v>
      </c>
      <c r="I143" s="23" t="s">
        <v>307</v>
      </c>
      <c r="J143" s="12">
        <f t="shared" si="9"/>
      </c>
      <c r="K143" s="18">
        <f t="shared" si="12"/>
      </c>
      <c r="L143" s="29">
        <v>46283</v>
      </c>
      <c r="M143" s="13" t="s">
        <v>331</v>
      </c>
      <c r="N143" s="20" t="s">
        <v>350</v>
      </c>
      <c r="O143" s="20"/>
      <c r="P143" s="20" t="s">
        <v>351</v>
      </c>
      <c r="Q143" s="20"/>
      <c r="R143" s="20"/>
      <c r="S143" s="20"/>
      <c r="T143" s="20"/>
      <c r="U143" s="20"/>
    </row>
    <row r="144">
      <c r="A144" s="11">
        <f t="shared" si="14"/>
      </c>
      <c r="B144" s="11" t="s">
        <v>310</v>
      </c>
      <c r="C144" s="12">
        <v>46274</v>
      </c>
      <c r="D144" s="22" t="s">
        <v>352</v>
      </c>
      <c r="E144" s="14">
        <f t="shared" si="2"/>
      </c>
      <c r="F144" s="13"/>
      <c r="G144" s="15" t="s">
        <v>37</v>
      </c>
      <c r="H144" s="16" t="s">
        <v>38</v>
      </c>
      <c r="I144" s="17" t="s">
        <v>39</v>
      </c>
      <c r="J144" s="12">
        <f t="shared" si="9"/>
      </c>
      <c r="K144" s="18">
        <f t="shared" si="12"/>
      </c>
      <c r="L144" s="29">
        <v>46284</v>
      </c>
      <c r="M144" s="30" t="s">
        <v>331</v>
      </c>
      <c r="N144" s="20" t="s">
        <v>353</v>
      </c>
      <c r="O144" s="20"/>
      <c r="P144" s="20" t="s">
        <v>354</v>
      </c>
      <c r="Q144" s="20"/>
      <c r="R144" s="20"/>
      <c r="S144" s="20"/>
      <c r="T144" s="20"/>
      <c r="U144" s="20"/>
    </row>
    <row r="145">
      <c r="A145" s="11">
        <f t="shared" si="14"/>
      </c>
      <c r="B145" s="11" t="s">
        <v>310</v>
      </c>
      <c r="C145" s="12">
        <v>46274</v>
      </c>
      <c r="D145" t="s">
        <v>355</v>
      </c>
      <c r="E145" s="14">
        <f t="shared" si="2"/>
      </c>
      <c r="F145" s="13"/>
      <c r="G145" s="15" t="s">
        <v>37</v>
      </c>
      <c r="H145" s="16" t="s">
        <v>38</v>
      </c>
      <c r="I145" s="17" t="s">
        <v>39</v>
      </c>
      <c r="J145" s="12">
        <f t="shared" si="9"/>
      </c>
      <c r="K145" s="18">
        <f t="shared" si="12"/>
      </c>
      <c r="L145" s="29">
        <v>46285</v>
      </c>
      <c r="M145" s="30" t="s">
        <v>331</v>
      </c>
      <c r="N145" s="20" t="s">
        <v>356</v>
      </c>
      <c r="O145" s="20"/>
      <c r="P145" s="20" t="s">
        <v>357</v>
      </c>
      <c r="Q145" s="20"/>
      <c r="R145" s="20"/>
      <c r="S145" s="20"/>
      <c r="T145" s="20"/>
      <c r="U145" s="20"/>
    </row>
    <row r="146">
      <c r="A146" s="11">
        <f t="shared" si="14"/>
      </c>
      <c r="B146" s="11" t="s">
        <v>310</v>
      </c>
      <c r="C146" s="12">
        <v>46274</v>
      </c>
      <c r="D146" s="20" t="s">
        <v>358</v>
      </c>
      <c r="E146" s="14">
        <f t="shared" si="2"/>
      </c>
      <c r="F146" s="13"/>
      <c r="G146" s="15" t="s">
        <v>37</v>
      </c>
      <c r="H146" s="16" t="s">
        <v>38</v>
      </c>
      <c r="I146" s="23" t="s">
        <v>307</v>
      </c>
      <c r="J146" s="12">
        <f t="shared" si="9"/>
      </c>
      <c r="K146" s="18">
        <f t="shared" si="12"/>
      </c>
      <c r="L146" s="29">
        <v>46285</v>
      </c>
      <c r="M146" s="30" t="s">
        <v>331</v>
      </c>
      <c r="P146" s="20" t="s">
        <v>359</v>
      </c>
      <c r="Q146" s="20"/>
      <c r="R146" s="20"/>
      <c r="S146" s="20"/>
      <c r="T146" s="20"/>
      <c r="U146" s="20"/>
    </row>
    <row r="147">
      <c r="A147" s="11">
        <f t="shared" si="14"/>
      </c>
      <c r="B147" s="11" t="s">
        <v>310</v>
      </c>
      <c r="E147" s="14">
        <f t="shared" si="2"/>
      </c>
      <c r="F147" s="13"/>
      <c r="G147" s="13"/>
      <c r="H147" s="16"/>
      <c r="J147" s="12">
        <f t="shared" si="9"/>
      </c>
      <c r="K147" s="18">
        <f t="shared" si="12"/>
      </c>
      <c r="M147" s="13"/>
      <c r="P147" s="20"/>
      <c r="Q147" s="20"/>
      <c r="R147" s="20"/>
      <c r="S147" s="20"/>
      <c r="T147" s="20"/>
      <c r="U147" s="20"/>
    </row>
    <row r="148">
      <c r="A148" s="11">
        <f t="shared" si="14"/>
      </c>
      <c r="B148" s="11" t="s">
        <v>310</v>
      </c>
      <c r="E148" s="14">
        <f t="shared" si="2"/>
      </c>
      <c r="F148" s="13"/>
      <c r="G148" s="13"/>
      <c r="H148" s="16"/>
      <c r="J148" s="12">
        <f t="shared" si="9"/>
      </c>
      <c r="K148" s="18">
        <f t="shared" si="12"/>
      </c>
      <c r="M148" s="13"/>
      <c r="P148" s="20"/>
      <c r="Q148" s="20"/>
      <c r="R148" s="20"/>
      <c r="S148" s="20"/>
      <c r="T148" s="20"/>
      <c r="U148" s="20"/>
    </row>
    <row r="149">
      <c r="A149" s="11">
        <f t="shared" si="14"/>
      </c>
      <c r="B149" s="11" t="s">
        <v>310</v>
      </c>
      <c r="E149" s="14">
        <f t="shared" si="2"/>
      </c>
      <c r="F149" s="13"/>
      <c r="G149" s="13"/>
      <c r="H149" s="16"/>
      <c r="J149" s="12">
        <f t="shared" si="9"/>
      </c>
      <c r="K149" s="18">
        <f t="shared" si="12"/>
      </c>
      <c r="M149" s="13"/>
      <c r="P149" s="20"/>
      <c r="Q149" s="20"/>
      <c r="R149" s="20"/>
      <c r="S149" s="20"/>
      <c r="T149" s="20"/>
      <c r="U149" s="20"/>
    </row>
    <row r="150">
      <c r="A150" s="11">
        <f t="shared" si="14"/>
      </c>
      <c r="B150" s="11" t="s">
        <v>310</v>
      </c>
      <c r="E150" s="14">
        <f t="shared" si="2"/>
      </c>
      <c r="F150" s="13"/>
      <c r="G150" s="13"/>
      <c r="H150" s="16"/>
      <c r="J150" s="12">
        <f t="shared" si="9"/>
      </c>
      <c r="K150" s="18">
        <f t="shared" si="12"/>
      </c>
      <c r="M150" s="13"/>
      <c r="P150" s="20"/>
      <c r="Q150" s="20"/>
      <c r="R150" s="20"/>
      <c r="S150" s="20"/>
      <c r="T150" s="20"/>
      <c r="U150" s="20"/>
    </row>
    <row r="151">
      <c r="A151" s="11">
        <f t="shared" si="14"/>
      </c>
      <c r="B151" s="11" t="s">
        <v>310</v>
      </c>
      <c r="E151" s="14">
        <f t="shared" si="2"/>
      </c>
      <c r="F151" s="13"/>
      <c r="G151" s="13"/>
      <c r="H151" s="16"/>
      <c r="J151" s="12">
        <f t="shared" si="9"/>
      </c>
      <c r="K151" s="18">
        <f t="shared" si="12"/>
      </c>
      <c r="M151" s="13"/>
      <c r="P151" s="20"/>
      <c r="Q151" s="20"/>
      <c r="R151" s="20"/>
      <c r="S151" s="20"/>
      <c r="T151" s="20"/>
      <c r="U151" s="20"/>
    </row>
    <row r="152">
      <c r="A152" s="11">
        <f t="shared" si="14"/>
      </c>
      <c r="B152" s="11" t="s">
        <v>310</v>
      </c>
      <c r="E152" s="14">
        <f t="shared" si="2"/>
      </c>
      <c r="F152" s="13"/>
      <c r="G152" s="13"/>
      <c r="H152" s="16"/>
      <c r="J152" s="12">
        <f t="shared" si="9"/>
      </c>
      <c r="K152" s="18">
        <f t="shared" si="12"/>
      </c>
      <c r="M152" s="13"/>
      <c r="P152" s="20"/>
      <c r="Q152" s="20"/>
      <c r="R152" s="20"/>
      <c r="S152" s="20"/>
      <c r="T152" s="20"/>
      <c r="U152" s="20"/>
    </row>
    <row r="153">
      <c r="A153" s="11">
        <f t="shared" si="14"/>
      </c>
      <c r="B153" s="11" t="s">
        <v>310</v>
      </c>
      <c r="E153" s="14">
        <f t="shared" si="2"/>
      </c>
      <c r="F153" s="13"/>
      <c r="G153" s="13"/>
      <c r="H153" s="16"/>
      <c r="J153" s="12">
        <f t="shared" si="9"/>
      </c>
      <c r="K153" s="18">
        <f t="shared" si="12"/>
      </c>
      <c r="M153" s="13"/>
      <c r="P153" s="20"/>
      <c r="Q153" s="20"/>
      <c r="R153" s="20"/>
      <c r="S153" s="20"/>
      <c r="T153" s="20"/>
      <c r="U153" s="20"/>
    </row>
    <row r="154">
      <c r="A154" s="11">
        <f t="shared" si="14"/>
      </c>
      <c r="B154" s="11" t="s">
        <v>310</v>
      </c>
      <c r="E154" s="14">
        <f t="shared" si="2"/>
      </c>
      <c r="F154" s="13"/>
      <c r="G154" s="13"/>
      <c r="H154" s="16"/>
      <c r="J154" s="12">
        <f t="shared" si="9"/>
      </c>
      <c r="K154" s="18">
        <f t="shared" si="12"/>
      </c>
      <c r="M154" s="13"/>
      <c r="P154" s="20"/>
      <c r="Q154" s="20"/>
      <c r="R154" s="20"/>
      <c r="S154" s="20"/>
      <c r="T154" s="20"/>
      <c r="U154" s="20"/>
    </row>
    <row r="155">
      <c r="A155" s="11">
        <f t="shared" si="14"/>
      </c>
      <c r="B155" s="11" t="s">
        <v>310</v>
      </c>
      <c r="E155" s="14">
        <f t="shared" si="2"/>
      </c>
      <c r="F155" s="13"/>
      <c r="G155" s="13"/>
      <c r="H155" s="16"/>
      <c r="J155" s="12">
        <f t="shared" si="9"/>
      </c>
      <c r="K155" s="18">
        <f t="shared" si="12"/>
      </c>
      <c r="M155" s="13"/>
      <c r="P155" s="20"/>
      <c r="Q155" s="20"/>
      <c r="R155" s="20"/>
      <c r="S155" s="20"/>
      <c r="T155" s="20"/>
      <c r="U155" s="20"/>
    </row>
    <row r="156">
      <c r="A156" s="11">
        <f t="shared" si="14"/>
      </c>
      <c r="B156" s="11" t="s">
        <v>310</v>
      </c>
      <c r="E156" s="14">
        <f t="shared" si="2"/>
      </c>
      <c r="F156" s="13"/>
      <c r="G156" s="13"/>
      <c r="H156" s="16"/>
      <c r="J156" s="12">
        <f t="shared" si="9"/>
      </c>
      <c r="K156" s="18">
        <f t="shared" si="12"/>
      </c>
      <c r="M156" s="13"/>
      <c r="P156" s="20"/>
      <c r="Q156" s="20"/>
      <c r="R156" s="20"/>
      <c r="S156" s="20"/>
      <c r="T156" s="20"/>
      <c r="U156" s="20"/>
    </row>
    <row r="157">
      <c r="A157" s="11">
        <f t="shared" si="14"/>
      </c>
      <c r="B157" s="11" t="s">
        <v>310</v>
      </c>
      <c r="E157" s="14">
        <f t="shared" si="2"/>
      </c>
      <c r="F157" s="13"/>
      <c r="G157" s="13"/>
      <c r="H157" s="16"/>
      <c r="J157" s="12">
        <f t="shared" si="9"/>
      </c>
      <c r="K157" s="18">
        <f t="shared" si="12"/>
      </c>
      <c r="M157" s="13"/>
      <c r="P157" s="20"/>
      <c r="Q157" s="20"/>
      <c r="R157" s="20"/>
      <c r="S157" s="20"/>
      <c r="T157" s="20"/>
      <c r="U157" s="20"/>
    </row>
    <row r="158">
      <c r="A158" s="11">
        <f t="shared" si="14"/>
      </c>
      <c r="B158" s="11" t="s">
        <v>310</v>
      </c>
      <c r="E158" s="14">
        <f t="shared" si="2"/>
      </c>
      <c r="F158" s="13"/>
      <c r="G158" s="13"/>
      <c r="H158" s="16"/>
      <c r="J158" s="12">
        <f t="shared" si="9"/>
      </c>
      <c r="K158" s="18">
        <f t="shared" si="12"/>
      </c>
      <c r="M158" s="13"/>
      <c r="P158" s="20"/>
      <c r="Q158" s="20"/>
      <c r="R158" s="20"/>
      <c r="S158" s="20"/>
      <c r="T158" s="20"/>
      <c r="U158" s="20"/>
    </row>
    <row r="159">
      <c r="A159" s="11">
        <f t="shared" si="14"/>
      </c>
      <c r="B159" s="11" t="s">
        <v>310</v>
      </c>
      <c r="E159" s="14">
        <f t="shared" si="2"/>
      </c>
      <c r="F159" s="13"/>
      <c r="G159" s="13"/>
      <c r="H159" s="16"/>
      <c r="J159" s="12">
        <f t="shared" si="9"/>
      </c>
      <c r="K159" s="18">
        <f t="shared" si="12"/>
      </c>
      <c r="M159" s="13"/>
      <c r="P159" s="20"/>
      <c r="Q159" s="20"/>
      <c r="R159" s="20"/>
      <c r="S159" s="20"/>
      <c r="T159" s="20"/>
      <c r="U159" s="20"/>
    </row>
    <row r="160">
      <c r="A160" s="11">
        <f t="shared" si="14"/>
      </c>
      <c r="B160" s="11" t="s">
        <v>310</v>
      </c>
      <c r="E160" s="14">
        <f t="shared" si="2"/>
      </c>
      <c r="F160" s="13"/>
      <c r="G160" s="13"/>
      <c r="H160" s="16"/>
      <c r="J160" s="12">
        <f t="shared" si="9"/>
      </c>
      <c r="K160" s="18">
        <f t="shared" si="12"/>
      </c>
      <c r="M160" s="13"/>
      <c r="P160" s="20"/>
      <c r="Q160" s="20"/>
      <c r="R160" s="20"/>
      <c r="S160" s="20"/>
      <c r="T160" s="20"/>
      <c r="U160" s="20"/>
    </row>
    <row r="161">
      <c r="A161" s="11">
        <f t="shared" si="14"/>
      </c>
      <c r="B161" s="11" t="s">
        <v>310</v>
      </c>
      <c r="E161" s="14">
        <f t="shared" si="2"/>
      </c>
      <c r="F161" s="13"/>
      <c r="G161" s="13"/>
      <c r="H161" s="16"/>
      <c r="J161" s="12">
        <f t="shared" si="9"/>
      </c>
      <c r="K161" s="18">
        <f t="shared" si="12"/>
      </c>
      <c r="M161" s="13"/>
      <c r="P161" s="20"/>
      <c r="Q161" s="20"/>
      <c r="R161" s="20"/>
      <c r="S161" s="20"/>
      <c r="T161" s="20"/>
      <c r="U161" s="20"/>
    </row>
    <row r="162">
      <c r="A162" s="11">
        <f t="shared" si="14"/>
      </c>
      <c r="B162" s="11" t="s">
        <v>310</v>
      </c>
      <c r="E162" s="14">
        <f t="shared" si="2"/>
      </c>
      <c r="F162" s="13"/>
      <c r="G162" s="13"/>
      <c r="H162" s="16"/>
      <c r="J162" s="12">
        <f t="shared" si="9"/>
      </c>
      <c r="K162" s="18">
        <f t="shared" si="12"/>
      </c>
      <c r="M162" s="13"/>
      <c r="P162" s="20"/>
      <c r="Q162" s="20"/>
      <c r="R162" s="20"/>
      <c r="S162" s="20"/>
      <c r="T162" s="20"/>
      <c r="U162" s="20"/>
    </row>
    <row r="163">
      <c r="A163" s="11">
        <f t="shared" si="14"/>
      </c>
      <c r="B163" s="11" t="s">
        <v>310</v>
      </c>
      <c r="E163" s="14">
        <f t="shared" si="2"/>
      </c>
      <c r="F163" s="13"/>
      <c r="G163" s="13"/>
      <c r="H163" s="16"/>
      <c r="J163" s="12">
        <f t="shared" si="9"/>
      </c>
      <c r="K163" s="18">
        <f t="shared" si="12"/>
      </c>
      <c r="M163" s="13"/>
      <c r="P163" s="20"/>
      <c r="Q163" s="20"/>
      <c r="R163" s="20"/>
      <c r="S163" s="20"/>
      <c r="T163" s="20"/>
      <c r="U163" s="20"/>
    </row>
    <row r="164">
      <c r="A164" s="11">
        <f t="shared" si="14"/>
      </c>
      <c r="B164" s="11" t="s">
        <v>310</v>
      </c>
      <c r="E164" s="14">
        <f t="shared" si="2"/>
      </c>
      <c r="F164" s="13"/>
      <c r="G164" s="13"/>
      <c r="H164" s="16"/>
      <c r="J164" s="12">
        <f t="shared" si="9"/>
      </c>
      <c r="K164" s="18">
        <f t="shared" si="12"/>
      </c>
      <c r="M164" s="13"/>
      <c r="P164" s="20"/>
      <c r="Q164" s="20"/>
      <c r="R164" s="20"/>
      <c r="S164" s="20"/>
      <c r="T164" s="20"/>
      <c r="U164" s="20"/>
    </row>
    <row r="165">
      <c r="A165" s="11">
        <f t="shared" si="14"/>
      </c>
      <c r="B165" s="11" t="s">
        <v>310</v>
      </c>
      <c r="E165" s="14">
        <f t="shared" si="2"/>
      </c>
      <c r="F165" s="13"/>
      <c r="G165" s="13"/>
      <c r="H165" s="16"/>
      <c r="J165" s="12">
        <f t="shared" si="9"/>
      </c>
      <c r="K165" s="18">
        <f t="shared" si="12"/>
      </c>
      <c r="M165" s="13"/>
      <c r="P165" s="20"/>
      <c r="Q165" s="20"/>
      <c r="R165" s="20"/>
      <c r="S165" s="20"/>
      <c r="T165" s="20"/>
      <c r="U165" s="20"/>
    </row>
    <row r="166">
      <c r="A166" s="11">
        <f t="shared" si="14"/>
      </c>
      <c r="B166" s="11" t="s">
        <v>310</v>
      </c>
      <c r="E166" s="14">
        <f t="shared" si="2"/>
      </c>
      <c r="F166" s="13"/>
      <c r="G166" s="13"/>
      <c r="H166" s="16"/>
      <c r="J166" s="12">
        <f t="shared" si="9"/>
      </c>
      <c r="K166" s="18">
        <f t="shared" si="12"/>
      </c>
      <c r="M166" s="13"/>
      <c r="P166" s="20"/>
      <c r="Q166" s="20"/>
      <c r="R166" s="20"/>
      <c r="S166" s="20"/>
      <c r="T166" s="20"/>
      <c r="U166" s="20"/>
    </row>
    <row r="167">
      <c r="A167" s="11">
        <f t="shared" si="14"/>
      </c>
      <c r="B167" s="11" t="s">
        <v>310</v>
      </c>
      <c r="E167" s="14">
        <f t="shared" si="2"/>
      </c>
      <c r="F167" s="13"/>
      <c r="G167" s="13"/>
      <c r="H167" s="16"/>
      <c r="J167" s="12">
        <f t="shared" si="9"/>
      </c>
      <c r="K167" s="18">
        <f t="shared" si="12"/>
      </c>
      <c r="M167" s="13"/>
      <c r="P167" s="20"/>
      <c r="Q167" s="20"/>
      <c r="R167" s="20"/>
      <c r="S167" s="20"/>
      <c r="T167" s="20"/>
      <c r="U167" s="20"/>
    </row>
    <row r="168">
      <c r="A168" s="11">
        <f t="shared" si="14"/>
      </c>
      <c r="B168" s="11" t="s">
        <v>310</v>
      </c>
      <c r="E168" s="14">
        <f t="shared" si="2"/>
      </c>
      <c r="F168" s="13"/>
      <c r="G168" s="13"/>
      <c r="H168" s="16"/>
      <c r="J168" s="12">
        <f t="shared" si="9"/>
      </c>
      <c r="K168" s="18">
        <f t="shared" si="12"/>
      </c>
      <c r="M168" s="13"/>
      <c r="P168" s="20"/>
      <c r="Q168" s="20"/>
      <c r="R168" s="20"/>
      <c r="S168" s="20"/>
      <c r="T168" s="20"/>
      <c r="U168" s="20"/>
    </row>
    <row r="169">
      <c r="A169" s="11">
        <f t="shared" si="14"/>
      </c>
      <c r="B169" s="11" t="s">
        <v>310</v>
      </c>
      <c r="E169" s="14">
        <f t="shared" si="2"/>
      </c>
      <c r="F169" s="13"/>
      <c r="G169" s="13"/>
      <c r="H169" s="16"/>
      <c r="J169" s="12">
        <f t="shared" si="9"/>
      </c>
      <c r="K169" s="18">
        <f t="shared" si="12"/>
      </c>
      <c r="M169" s="13"/>
      <c r="P169" s="20"/>
      <c r="Q169" s="20"/>
      <c r="R169" s="20"/>
      <c r="S169" s="20"/>
      <c r="T169" s="20"/>
      <c r="U169" s="20"/>
    </row>
    <row r="170">
      <c r="A170" s="11">
        <f t="shared" si="14"/>
      </c>
      <c r="B170" s="11" t="s">
        <v>310</v>
      </c>
      <c r="E170" s="14">
        <f t="shared" si="2"/>
      </c>
      <c r="F170" s="13"/>
      <c r="G170" s="13"/>
      <c r="H170" s="16"/>
      <c r="J170" s="12">
        <f t="shared" si="9"/>
      </c>
      <c r="K170" s="18">
        <f t="shared" si="12"/>
      </c>
      <c r="M170" s="13"/>
      <c r="P170" s="20"/>
      <c r="Q170" s="20"/>
      <c r="R170" s="20"/>
      <c r="S170" s="20"/>
      <c r="T170" s="20"/>
      <c r="U170" s="20"/>
    </row>
    <row r="171">
      <c r="A171" s="11">
        <f t="shared" si="14"/>
      </c>
      <c r="B171" s="11" t="s">
        <v>310</v>
      </c>
      <c r="E171" s="14">
        <f t="shared" si="2"/>
      </c>
      <c r="F171" s="13"/>
      <c r="G171" s="13"/>
      <c r="H171" s="16"/>
      <c r="J171" s="12">
        <f t="shared" si="9"/>
      </c>
      <c r="K171" s="18">
        <f t="shared" si="12"/>
      </c>
      <c r="M171" s="13"/>
      <c r="P171" s="20"/>
      <c r="Q171" s="20"/>
      <c r="R171" s="20"/>
      <c r="S171" s="20"/>
      <c r="T171" s="20"/>
      <c r="U171" s="20"/>
    </row>
    <row r="172">
      <c r="A172" s="11">
        <f t="shared" si="14"/>
      </c>
      <c r="B172" s="11" t="s">
        <v>310</v>
      </c>
      <c r="E172" s="14">
        <f t="shared" si="2"/>
      </c>
      <c r="F172" s="13"/>
      <c r="G172" s="13"/>
      <c r="H172" s="16"/>
      <c r="J172" s="12">
        <f t="shared" si="9"/>
      </c>
      <c r="K172" s="18">
        <f t="shared" si="12"/>
      </c>
      <c r="M172" s="13"/>
      <c r="P172" s="20"/>
      <c r="Q172" s="20"/>
      <c r="R172" s="20"/>
      <c r="S172" s="20"/>
      <c r="T172" s="20"/>
      <c r="U172" s="20"/>
    </row>
    <row r="173">
      <c r="A173" s="11">
        <f t="shared" si="14"/>
      </c>
      <c r="B173" s="11" t="s">
        <v>310</v>
      </c>
      <c r="E173" s="14">
        <f t="shared" si="2"/>
      </c>
      <c r="F173" s="13"/>
      <c r="G173" s="13"/>
      <c r="H173" s="16"/>
      <c r="J173" s="12">
        <f t="shared" si="9"/>
      </c>
      <c r="K173" s="18">
        <f t="shared" si="12"/>
      </c>
      <c r="M173" s="13"/>
      <c r="P173" s="20"/>
      <c r="Q173" s="20"/>
      <c r="R173" s="20"/>
      <c r="S173" s="20"/>
      <c r="T173" s="20"/>
      <c r="U173" s="20"/>
    </row>
    <row r="174">
      <c r="A174" s="11">
        <f t="shared" si="14"/>
      </c>
      <c r="B174" s="11" t="s">
        <v>310</v>
      </c>
      <c r="E174" s="14">
        <f t="shared" si="2"/>
      </c>
      <c r="F174" s="13"/>
      <c r="G174" s="13"/>
      <c r="H174" s="16"/>
      <c r="J174" s="12">
        <f t="shared" si="9"/>
      </c>
      <c r="K174" s="18">
        <f t="shared" si="12"/>
      </c>
      <c r="M174" s="13"/>
      <c r="P174" s="20"/>
      <c r="Q174" s="20"/>
      <c r="R174" s="20"/>
      <c r="S174" s="20"/>
      <c r="T174" s="20"/>
      <c r="U174" s="20"/>
    </row>
    <row r="175">
      <c r="A175" s="11">
        <f t="shared" si="14"/>
      </c>
      <c r="B175" s="11" t="s">
        <v>310</v>
      </c>
      <c r="E175" s="14">
        <f t="shared" si="2"/>
      </c>
      <c r="F175" s="13"/>
      <c r="G175" s="13"/>
      <c r="H175" s="16"/>
      <c r="J175" s="12">
        <f t="shared" si="9"/>
      </c>
      <c r="K175" s="18">
        <f t="shared" si="12"/>
      </c>
      <c r="M175" s="13"/>
      <c r="P175" s="20"/>
      <c r="Q175" s="20"/>
      <c r="R175" s="20"/>
      <c r="S175" s="20"/>
      <c r="T175" s="20"/>
      <c r="U175" s="20"/>
    </row>
    <row r="176">
      <c r="A176" s="11">
        <f t="shared" si="14"/>
      </c>
      <c r="B176" s="11" t="s">
        <v>310</v>
      </c>
      <c r="E176" s="14">
        <f t="shared" si="2"/>
      </c>
      <c r="F176" s="13"/>
      <c r="G176" s="13"/>
      <c r="H176" s="16"/>
      <c r="J176" s="12">
        <f t="shared" si="9"/>
      </c>
      <c r="K176" s="18">
        <f t="shared" si="12"/>
      </c>
      <c r="M176" s="13"/>
      <c r="P176" s="20"/>
      <c r="Q176" s="20"/>
      <c r="R176" s="20"/>
      <c r="S176" s="20"/>
      <c r="T176" s="20"/>
      <c r="U176" s="20"/>
    </row>
    <row r="177">
      <c r="A177" s="11">
        <f t="shared" si="14"/>
      </c>
      <c r="B177" s="11" t="s">
        <v>310</v>
      </c>
      <c r="E177" s="14">
        <f t="shared" si="2"/>
      </c>
      <c r="F177" s="13"/>
      <c r="G177" s="13"/>
      <c r="H177" s="16"/>
      <c r="J177" s="12">
        <f t="shared" si="9"/>
      </c>
      <c r="K177" s="18">
        <f t="shared" si="12"/>
      </c>
      <c r="M177" s="13"/>
      <c r="P177" s="20"/>
      <c r="Q177" s="20"/>
      <c r="R177" s="20"/>
      <c r="S177" s="20"/>
      <c r="T177" s="20"/>
      <c r="U177" s="20"/>
    </row>
    <row r="178">
      <c r="A178" s="11">
        <f t="shared" si="14"/>
      </c>
      <c r="B178" s="11" t="s">
        <v>310</v>
      </c>
      <c r="E178" s="14">
        <f t="shared" si="2"/>
      </c>
      <c r="F178" s="13"/>
      <c r="G178" s="13"/>
      <c r="H178" s="16"/>
      <c r="J178" s="12">
        <f t="shared" si="9"/>
      </c>
      <c r="K178" s="18">
        <f t="shared" si="12"/>
      </c>
      <c r="M178" s="13"/>
      <c r="P178" s="20"/>
      <c r="Q178" s="20"/>
      <c r="R178" s="20"/>
      <c r="S178" s="20"/>
      <c r="T178" s="20"/>
      <c r="U178" s="20"/>
    </row>
    <row r="179">
      <c r="A179" s="11">
        <f t="shared" si="14"/>
      </c>
      <c r="B179" s="11" t="s">
        <v>310</v>
      </c>
      <c r="E179" s="14">
        <f t="shared" si="2"/>
      </c>
      <c r="F179" s="13"/>
      <c r="G179" s="13"/>
      <c r="H179" s="16"/>
      <c r="J179" s="12">
        <f t="shared" si="9"/>
      </c>
      <c r="K179" s="18">
        <f t="shared" si="12"/>
      </c>
      <c r="M179" s="13"/>
      <c r="P179" s="20"/>
      <c r="Q179" s="20"/>
      <c r="R179" s="20"/>
      <c r="S179" s="20"/>
      <c r="T179" s="20"/>
      <c r="U179" s="20"/>
    </row>
    <row r="180">
      <c r="A180" s="11">
        <f t="shared" si="14"/>
      </c>
      <c r="B180" s="11" t="s">
        <v>310</v>
      </c>
      <c r="E180" s="14">
        <f t="shared" si="2"/>
      </c>
      <c r="F180" s="13"/>
      <c r="G180" s="13"/>
      <c r="H180" s="16"/>
      <c r="J180" s="12">
        <f t="shared" si="9"/>
      </c>
      <c r="K180" s="18">
        <f t="shared" si="12"/>
      </c>
      <c r="M180" s="13"/>
      <c r="P180" s="20"/>
      <c r="Q180" s="20"/>
      <c r="R180" s="20"/>
      <c r="S180" s="20"/>
      <c r="T180" s="20"/>
      <c r="U180" s="20"/>
    </row>
    <row r="181">
      <c r="A181" s="11">
        <f t="shared" si="14"/>
      </c>
      <c r="B181" s="11" t="s">
        <v>310</v>
      </c>
      <c r="E181" s="14">
        <f t="shared" si="2"/>
      </c>
      <c r="F181" s="13"/>
      <c r="G181" s="13"/>
      <c r="H181" s="16"/>
      <c r="J181" s="12">
        <f t="shared" si="9"/>
      </c>
      <c r="K181" s="18">
        <f t="shared" si="12"/>
      </c>
      <c r="M181" s="13"/>
      <c r="P181" s="20"/>
      <c r="Q181" s="20"/>
      <c r="R181" s="20"/>
      <c r="S181" s="20"/>
      <c r="T181" s="20"/>
      <c r="U181" s="20"/>
    </row>
    <row r="182">
      <c r="F182" s="13"/>
      <c r="G182" s="13"/>
      <c r="H182" s="13"/>
      <c r="P182" s="20"/>
      <c r="Q182" s="20"/>
      <c r="R182" s="20"/>
      <c r="S182" s="20"/>
      <c r="T182" s="20"/>
      <c r="U182" s="20"/>
    </row>
    <row r="183">
      <c r="F183" s="13"/>
      <c r="G183" s="13"/>
      <c r="H183" s="13"/>
      <c r="P183" s="20"/>
      <c r="Q183" s="20"/>
      <c r="R183" s="20"/>
      <c r="S183" s="20"/>
      <c r="T183" s="20"/>
      <c r="U183" s="20"/>
    </row>
    <row r="184">
      <c r="F184" s="13"/>
      <c r="G184" s="13"/>
      <c r="H184" s="13"/>
      <c r="P184" s="20"/>
      <c r="Q184" s="20"/>
      <c r="R184" s="20"/>
      <c r="S184" s="20"/>
      <c r="T184" s="20"/>
      <c r="U184" s="20"/>
    </row>
    <row r="185">
      <c r="F185" s="13"/>
      <c r="G185" s="13"/>
      <c r="H185" s="13"/>
      <c r="P185" s="20"/>
      <c r="Q185" s="20"/>
      <c r="R185" s="20"/>
      <c r="S185" s="20"/>
      <c r="T185" s="20"/>
      <c r="U185" s="20"/>
    </row>
    <row r="186">
      <c r="F186" s="13"/>
      <c r="G186" s="13"/>
      <c r="H186" s="13"/>
      <c r="P186" s="20"/>
      <c r="Q186" s="20"/>
      <c r="R186" s="20"/>
      <c r="S186" s="20"/>
      <c r="T186" s="20"/>
      <c r="U186" s="20"/>
    </row>
    <row r="187">
      <c r="F187" s="13"/>
      <c r="G187" s="13"/>
      <c r="H187" s="13"/>
      <c r="P187" s="20"/>
      <c r="Q187" s="20"/>
      <c r="R187" s="20"/>
      <c r="S187" s="20"/>
      <c r="T187" s="20"/>
      <c r="U187" s="20"/>
    </row>
    <row r="188">
      <c r="F188" s="13"/>
      <c r="G188" s="13"/>
      <c r="H188" s="13"/>
      <c r="P188" s="20"/>
      <c r="Q188" s="20"/>
      <c r="R188" s="20"/>
      <c r="S188" s="20"/>
      <c r="T188" s="20"/>
      <c r="U188" s="20"/>
    </row>
    <row r="189">
      <c r="F189" s="13"/>
      <c r="G189" s="13"/>
      <c r="H189" s="13"/>
      <c r="P189" s="20"/>
      <c r="Q189" s="20"/>
      <c r="R189" s="20"/>
      <c r="S189" s="20"/>
      <c r="T189" s="20"/>
      <c r="U189" s="20"/>
    </row>
    <row r="190">
      <c r="F190" s="13"/>
      <c r="G190" s="13"/>
      <c r="H190" s="13"/>
      <c r="P190" s="20"/>
      <c r="Q190" s="20"/>
      <c r="R190" s="20"/>
      <c r="S190" s="20"/>
      <c r="T190" s="20"/>
      <c r="U190" s="20"/>
    </row>
    <row r="191">
      <c r="F191" s="13"/>
      <c r="G191" s="13"/>
      <c r="H191" s="13"/>
      <c r="P191" s="20"/>
      <c r="Q191" s="20"/>
      <c r="R191" s="20"/>
      <c r="S191" s="20"/>
      <c r="T191" s="20"/>
      <c r="U191" s="20"/>
    </row>
    <row r="192">
      <c r="D192" s="20"/>
      <c r="E192" s="14">
        <f t="shared" ref="E192:E219" si="3">HYPERLINK("https://www.tiktok.com/@"&amp;TRIM(D192))</f>
      </c>
      <c r="F192" s="13"/>
      <c r="G192" s="13"/>
      <c r="H192" s="16" t="s">
        <v>38</v>
      </c>
    </row>
    <row r="193">
      <c r="E193" s="14">
        <f t="shared" si="3"/>
      </c>
      <c r="F193" s="13"/>
      <c r="G193" s="13"/>
      <c r="H193" s="16" t="s">
        <v>38</v>
      </c>
    </row>
    <row r="194">
      <c r="E194" s="14">
        <f t="shared" si="3"/>
      </c>
      <c r="F194" s="13"/>
      <c r="G194" s="13"/>
      <c r="H194" s="16" t="s">
        <v>38</v>
      </c>
    </row>
    <row r="195">
      <c r="E195" s="14">
        <f t="shared" si="3"/>
      </c>
      <c r="F195" s="13"/>
      <c r="G195" s="13"/>
      <c r="H195" s="16" t="s">
        <v>38</v>
      </c>
    </row>
    <row r="196">
      <c r="E196" s="14">
        <f t="shared" si="3"/>
      </c>
      <c r="F196" s="13"/>
      <c r="G196" s="13"/>
      <c r="H196" s="16" t="s">
        <v>38</v>
      </c>
    </row>
    <row r="197">
      <c r="E197" s="14">
        <f t="shared" si="3"/>
      </c>
      <c r="F197" s="13"/>
      <c r="G197" s="13"/>
      <c r="H197" s="16" t="s">
        <v>38</v>
      </c>
    </row>
    <row r="198">
      <c r="E198" s="14">
        <f t="shared" si="3"/>
      </c>
      <c r="F198" s="13"/>
      <c r="G198" s="13"/>
      <c r="H198" s="16" t="s">
        <v>38</v>
      </c>
    </row>
    <row r="199">
      <c r="E199" s="14">
        <f t="shared" si="3"/>
      </c>
      <c r="F199" s="13"/>
      <c r="G199" s="13"/>
      <c r="H199" s="16" t="s">
        <v>38</v>
      </c>
    </row>
    <row r="200">
      <c r="E200" s="14">
        <f t="shared" si="3"/>
      </c>
      <c r="F200" s="13"/>
      <c r="G200" s="13"/>
      <c r="H200" s="16" t="s">
        <v>38</v>
      </c>
    </row>
    <row r="201">
      <c r="E201" s="14">
        <f t="shared" si="3"/>
      </c>
      <c r="F201" s="13"/>
      <c r="G201" s="13"/>
      <c r="H201" s="16" t="s">
        <v>38</v>
      </c>
    </row>
    <row r="202">
      <c r="E202" s="14">
        <f t="shared" si="3"/>
      </c>
      <c r="F202" s="13"/>
      <c r="G202" s="13"/>
      <c r="H202" s="16" t="s">
        <v>38</v>
      </c>
    </row>
    <row r="203">
      <c r="E203" s="14">
        <f t="shared" si="3"/>
      </c>
      <c r="F203" s="13"/>
      <c r="G203" s="13"/>
      <c r="H203" s="16" t="s">
        <v>38</v>
      </c>
    </row>
    <row r="204">
      <c r="E204" s="14">
        <f t="shared" si="3"/>
      </c>
      <c r="F204" s="13"/>
      <c r="G204" s="13"/>
      <c r="H204" s="16" t="s">
        <v>38</v>
      </c>
    </row>
    <row r="205">
      <c r="E205" s="14">
        <f t="shared" si="3"/>
      </c>
      <c r="F205" s="13"/>
      <c r="G205" s="13"/>
      <c r="H205" s="16" t="s">
        <v>38</v>
      </c>
    </row>
    <row r="206">
      <c r="E206" s="14">
        <f t="shared" si="3"/>
      </c>
      <c r="F206" s="13"/>
      <c r="G206" s="13"/>
      <c r="H206" s="16" t="s">
        <v>38</v>
      </c>
    </row>
    <row r="207">
      <c r="E207" s="14">
        <f t="shared" si="3"/>
      </c>
      <c r="F207" s="13"/>
      <c r="G207" s="13"/>
      <c r="H207" s="16" t="s">
        <v>38</v>
      </c>
    </row>
    <row r="208">
      <c r="E208" s="14">
        <f t="shared" si="3"/>
      </c>
      <c r="F208" s="13"/>
      <c r="G208" s="13"/>
      <c r="H208" s="16" t="s">
        <v>38</v>
      </c>
    </row>
    <row r="209">
      <c r="E209" s="14">
        <f t="shared" si="3"/>
      </c>
      <c r="F209" s="13"/>
      <c r="G209" s="13"/>
      <c r="H209" s="16" t="s">
        <v>38</v>
      </c>
    </row>
    <row r="210">
      <c r="E210" s="14">
        <f t="shared" si="3"/>
      </c>
      <c r="F210" s="13"/>
      <c r="G210" s="13"/>
      <c r="H210" s="16" t="s">
        <v>38</v>
      </c>
    </row>
    <row r="211">
      <c r="E211" s="14">
        <f t="shared" si="3"/>
      </c>
      <c r="F211" s="13"/>
      <c r="G211" s="13"/>
      <c r="H211" s="16" t="s">
        <v>38</v>
      </c>
    </row>
    <row r="212">
      <c r="E212" s="14">
        <f t="shared" si="3"/>
      </c>
      <c r="F212" s="13"/>
      <c r="G212" s="13"/>
      <c r="H212" s="13"/>
    </row>
    <row r="213">
      <c r="E213" s="14">
        <f t="shared" si="3"/>
      </c>
      <c r="F213" s="13"/>
      <c r="G213" s="13"/>
      <c r="H213" s="13"/>
    </row>
    <row r="214">
      <c r="E214" s="14">
        <f t="shared" si="3"/>
      </c>
      <c r="F214" s="13"/>
      <c r="G214" s="13"/>
      <c r="H214" s="13"/>
    </row>
    <row r="215">
      <c r="E215" s="14">
        <f t="shared" si="3"/>
      </c>
      <c r="F215" s="13"/>
      <c r="G215" s="13"/>
      <c r="H215" s="13"/>
    </row>
    <row r="216">
      <c r="E216" s="14">
        <f t="shared" si="3"/>
      </c>
      <c r="F216" s="13"/>
      <c r="G216" s="13"/>
      <c r="H216" s="13"/>
    </row>
    <row r="217">
      <c r="E217" s="14">
        <f t="shared" si="3"/>
      </c>
      <c r="F217" s="13"/>
      <c r="G217" s="13"/>
      <c r="H217" s="13"/>
    </row>
    <row r="218">
      <c r="E218" s="14">
        <f t="shared" si="3"/>
      </c>
      <c r="F218" s="13"/>
      <c r="G218" s="13"/>
      <c r="H218" s="13"/>
    </row>
    <row r="219">
      <c r="E219" s="14">
        <f t="shared" si="3"/>
      </c>
      <c r="F219" s="13"/>
      <c r="G219" s="13"/>
      <c r="H219" s="13"/>
    </row>
    <row r="220">
      <c r="F220" s="13"/>
      <c r="G220" s="13"/>
      <c r="H220" s="13"/>
    </row>
    <row r="221">
      <c r="F221" s="13"/>
      <c r="G221" s="13"/>
      <c r="H221" s="13"/>
    </row>
    <row r="222">
      <c r="F222" s="13"/>
      <c r="G222" s="13"/>
      <c r="H222" s="13"/>
    </row>
    <row r="223">
      <c r="F223" s="13"/>
      <c r="G223" s="13"/>
      <c r="H223" s="13"/>
    </row>
    <row r="224">
      <c r="F224" s="13"/>
      <c r="G224" s="13"/>
      <c r="H224" s="13"/>
    </row>
    <row r="225">
      <c r="F225" s="13"/>
      <c r="G225" s="13"/>
      <c r="H225" s="13"/>
    </row>
    <row r="226">
      <c r="F226" s="13"/>
      <c r="G226" s="13"/>
      <c r="H226" s="13"/>
    </row>
    <row r="227">
      <c r="F227" s="13"/>
      <c r="G227" s="13"/>
      <c r="H227" s="13"/>
    </row>
    <row r="228">
      <c r="F228" s="13"/>
      <c r="G228" s="13"/>
      <c r="H228" s="13"/>
    </row>
    <row r="229">
      <c r="F229" s="13"/>
      <c r="G229" s="13"/>
      <c r="H229" s="13"/>
    </row>
    <row r="230">
      <c r="F230" s="13"/>
      <c r="G230" s="13"/>
      <c r="H230" s="13"/>
    </row>
    <row r="231">
      <c r="F231" s="13"/>
      <c r="G231" s="13"/>
      <c r="H231" s="13"/>
    </row>
    <row r="232">
      <c r="F232" s="13"/>
      <c r="G232" s="13"/>
      <c r="H232" s="13"/>
    </row>
    <row r="233">
      <c r="F233" s="13"/>
      <c r="G233" s="13"/>
      <c r="H233" s="13"/>
    </row>
    <row r="234">
      <c r="F234" s="13"/>
      <c r="G234" s="13"/>
      <c r="H234" s="13"/>
    </row>
    <row r="235">
      <c r="F235" s="13"/>
      <c r="G235" s="13"/>
      <c r="H235" s="13"/>
    </row>
    <row r="236">
      <c r="F236" s="13"/>
      <c r="G236" s="13"/>
      <c r="H236" s="13"/>
    </row>
    <row r="237">
      <c r="F237" s="13"/>
      <c r="G237" s="13"/>
      <c r="H237" s="13"/>
    </row>
    <row r="238">
      <c r="F238" s="13"/>
      <c r="G238" s="13"/>
      <c r="H238" s="13"/>
    </row>
    <row r="239">
      <c r="F239" s="13"/>
      <c r="G239" s="13"/>
      <c r="H239" s="13"/>
    </row>
    <row r="240">
      <c r="F240" s="13"/>
      <c r="G240" s="13"/>
      <c r="H240" s="13"/>
    </row>
    <row r="241">
      <c r="F241" s="13"/>
      <c r="G241" s="13"/>
      <c r="H241" s="13"/>
    </row>
    <row r="242">
      <c r="F242" s="13"/>
      <c r="G242" s="13"/>
      <c r="H242" s="13"/>
    </row>
    <row r="243">
      <c r="F243" s="13"/>
      <c r="G243" s="13"/>
      <c r="H243" s="13"/>
    </row>
    <row r="244">
      <c r="F244" s="13"/>
      <c r="G244" s="13"/>
      <c r="H244" s="13"/>
    </row>
    <row r="245">
      <c r="F245" s="13"/>
      <c r="G245" s="13"/>
      <c r="H245" s="13"/>
    </row>
    <row r="246">
      <c r="F246" s="13"/>
      <c r="G246" s="13"/>
      <c r="H246" s="13"/>
    </row>
    <row r="247">
      <c r="F247" s="13"/>
      <c r="G247" s="13"/>
      <c r="H247" s="13"/>
    </row>
    <row r="248">
      <c r="F248" s="13"/>
      <c r="G248" s="13"/>
      <c r="H248" s="13"/>
    </row>
    <row r="249">
      <c r="F249" s="13"/>
      <c r="G249" s="13"/>
      <c r="H249" s="13"/>
    </row>
    <row r="250">
      <c r="F250" s="13"/>
      <c r="G250" s="13"/>
      <c r="H250" s="13"/>
    </row>
    <row r="251">
      <c r="F251" s="13"/>
      <c r="G251" s="13"/>
      <c r="H251" s="13"/>
    </row>
    <row r="252">
      <c r="F252" s="13"/>
      <c r="G252" s="13"/>
      <c r="H252" s="13"/>
    </row>
    <row r="253">
      <c r="F253" s="13"/>
      <c r="G253" s="13"/>
      <c r="H253" s="13"/>
    </row>
    <row r="254">
      <c r="F254" s="13"/>
      <c r="G254" s="13"/>
      <c r="H254" s="13"/>
    </row>
    <row r="255">
      <c r="F255" s="13"/>
      <c r="G255" s="13"/>
      <c r="H255" s="13"/>
    </row>
    <row r="256">
      <c r="F256" s="13"/>
      <c r="G256" s="13"/>
      <c r="H256" s="13"/>
    </row>
    <row r="257">
      <c r="F257" s="13"/>
      <c r="G257" s="13"/>
      <c r="H257" s="13"/>
    </row>
    <row r="258">
      <c r="F258" s="13"/>
      <c r="G258" s="13"/>
      <c r="H258" s="13"/>
    </row>
    <row r="259">
      <c r="F259" s="13"/>
      <c r="G259" s="13"/>
      <c r="H259" s="13"/>
    </row>
    <row r="260">
      <c r="F260" s="13"/>
      <c r="G260" s="13"/>
      <c r="H260" s="13"/>
    </row>
    <row r="261">
      <c r="F261" s="13"/>
      <c r="G261" s="13"/>
      <c r="H261" s="13"/>
    </row>
    <row r="262">
      <c r="F262" s="13"/>
      <c r="G262" s="13"/>
      <c r="H262" s="13"/>
    </row>
    <row r="263">
      <c r="F263" s="13"/>
      <c r="G263" s="13"/>
      <c r="H263" s="13"/>
    </row>
    <row r="264">
      <c r="F264" s="13"/>
      <c r="G264" s="13"/>
      <c r="H264" s="13"/>
    </row>
    <row r="265">
      <c r="F265" s="13"/>
      <c r="G265" s="13"/>
      <c r="H265" s="13"/>
    </row>
    <row r="266">
      <c r="F266" s="13"/>
      <c r="G266" s="13"/>
      <c r="H266" s="13"/>
    </row>
    <row r="267">
      <c r="F267" s="13"/>
      <c r="G267" s="13"/>
      <c r="H267" s="13"/>
    </row>
    <row r="268">
      <c r="F268" s="13"/>
      <c r="G268" s="13"/>
      <c r="H268" s="13"/>
    </row>
    <row r="269">
      <c r="F269" s="13"/>
      <c r="G269" s="13"/>
      <c r="H269" s="13"/>
    </row>
    <row r="270">
      <c r="F270" s="13"/>
      <c r="G270" s="13"/>
      <c r="H270" s="13"/>
    </row>
    <row r="271">
      <c r="F271" s="13"/>
      <c r="G271" s="13"/>
      <c r="H271" s="13"/>
    </row>
    <row r="272">
      <c r="F272" s="13"/>
      <c r="G272" s="13"/>
      <c r="H272" s="13"/>
    </row>
    <row r="273">
      <c r="F273" s="13"/>
      <c r="G273" s="13"/>
      <c r="H273" s="13"/>
    </row>
    <row r="274">
      <c r="F274" s="13"/>
      <c r="G274" s="13"/>
      <c r="H274" s="13"/>
    </row>
    <row r="275">
      <c r="F275" s="13"/>
      <c r="G275" s="13"/>
      <c r="H275" s="13"/>
    </row>
    <row r="276">
      <c r="F276" s="13"/>
      <c r="G276" s="13"/>
      <c r="H276" s="13"/>
    </row>
    <row r="277">
      <c r="F277" s="13"/>
      <c r="G277" s="13"/>
      <c r="H277" s="13"/>
    </row>
    <row r="278">
      <c r="F278" s="13"/>
      <c r="G278" s="13"/>
      <c r="H278" s="13"/>
    </row>
    <row r="279">
      <c r="F279" s="13"/>
      <c r="G279" s="13"/>
      <c r="H279" s="13"/>
    </row>
    <row r="280">
      <c r="F280" s="13"/>
      <c r="G280" s="13"/>
      <c r="H280" s="13"/>
    </row>
    <row r="281">
      <c r="F281" s="13"/>
      <c r="G281" s="13"/>
      <c r="H281" s="13"/>
    </row>
    <row r="282">
      <c r="F282" s="13"/>
      <c r="G282" s="13"/>
      <c r="H282" s="13"/>
    </row>
    <row r="283">
      <c r="F283" s="13"/>
      <c r="G283" s="13"/>
      <c r="H283" s="13"/>
    </row>
    <row r="284">
      <c r="F284" s="13"/>
      <c r="G284" s="13"/>
      <c r="H284" s="13"/>
    </row>
    <row r="285">
      <c r="F285" s="13"/>
      <c r="G285" s="13"/>
      <c r="H285" s="13"/>
    </row>
    <row r="286">
      <c r="F286" s="13"/>
      <c r="G286" s="13"/>
      <c r="H286" s="13"/>
    </row>
    <row r="287">
      <c r="F287" s="13"/>
      <c r="G287" s="13"/>
      <c r="H287" s="13"/>
    </row>
    <row r="288">
      <c r="F288" s="13"/>
      <c r="G288" s="13"/>
      <c r="H288" s="13"/>
    </row>
    <row r="289">
      <c r="F289" s="13"/>
      <c r="G289" s="13"/>
      <c r="H289" s="13"/>
    </row>
    <row r="290">
      <c r="F290" s="13"/>
      <c r="G290" s="13"/>
      <c r="H290" s="13"/>
    </row>
    <row r="291">
      <c r="F291" s="13"/>
      <c r="G291" s="13"/>
      <c r="H291" s="13"/>
    </row>
    <row r="292">
      <c r="F292" s="13"/>
      <c r="G292" s="13"/>
      <c r="H292" s="13"/>
    </row>
    <row r="293">
      <c r="F293" s="13"/>
      <c r="G293" s="13"/>
      <c r="H293" s="13"/>
    </row>
    <row r="294">
      <c r="F294" s="13"/>
      <c r="G294" s="13"/>
      <c r="H294" s="13"/>
    </row>
    <row r="295">
      <c r="F295" s="13"/>
      <c r="G295" s="13"/>
      <c r="H295" s="13"/>
    </row>
    <row r="296">
      <c r="F296" s="13"/>
      <c r="G296" s="13"/>
      <c r="H296" s="13"/>
    </row>
    <row r="297">
      <c r="F297" s="13"/>
      <c r="G297" s="13"/>
      <c r="H297" s="13"/>
    </row>
    <row r="298">
      <c r="F298" s="13"/>
      <c r="G298" s="13"/>
      <c r="H298" s="13"/>
    </row>
    <row r="299">
      <c r="F299" s="13"/>
      <c r="G299" s="13"/>
      <c r="H299" s="13"/>
    </row>
    <row r="300">
      <c r="F300" s="13"/>
      <c r="G300" s="13"/>
      <c r="H300" s="13"/>
    </row>
    <row r="301">
      <c r="F301" s="13"/>
      <c r="G301" s="13"/>
      <c r="H301" s="13"/>
    </row>
    <row r="302">
      <c r="F302" s="13"/>
      <c r="G302" s="13"/>
      <c r="H302" s="13"/>
    </row>
    <row r="303">
      <c r="F303" s="13"/>
      <c r="G303" s="13"/>
      <c r="H303" s="13"/>
    </row>
    <row r="304">
      <c r="F304" s="13"/>
      <c r="G304" s="13"/>
      <c r="H304" s="13"/>
    </row>
    <row r="305">
      <c r="F305" s="13"/>
      <c r="G305" s="13"/>
      <c r="H305" s="13"/>
    </row>
    <row r="306">
      <c r="F306" s="13"/>
      <c r="G306" s="13"/>
      <c r="H306" s="13"/>
    </row>
    <row r="307">
      <c r="F307" s="13"/>
      <c r="G307" s="13"/>
      <c r="H307" s="13"/>
    </row>
    <row r="308">
      <c r="F308" s="13"/>
      <c r="G308" s="13"/>
      <c r="H308" s="13"/>
    </row>
    <row r="309">
      <c r="F309" s="13"/>
      <c r="G309" s="13"/>
      <c r="H309" s="13"/>
    </row>
    <row r="310">
      <c r="F310" s="13"/>
      <c r="G310" s="13"/>
      <c r="H310" s="13"/>
    </row>
    <row r="311">
      <c r="F311" s="13"/>
      <c r="G311" s="13"/>
      <c r="H311" s="13"/>
    </row>
    <row r="312">
      <c r="F312" s="13"/>
      <c r="G312" s="13"/>
      <c r="H312" s="13"/>
    </row>
    <row r="313">
      <c r="F313" s="13"/>
      <c r="G313" s="13"/>
      <c r="H313" s="13"/>
    </row>
    <row r="314">
      <c r="F314" s="13"/>
      <c r="G314" s="13"/>
      <c r="H314" s="13"/>
    </row>
    <row r="315">
      <c r="F315" s="13"/>
      <c r="G315" s="13"/>
      <c r="H315" s="13"/>
    </row>
    <row r="316">
      <c r="F316" s="13"/>
      <c r="G316" s="13"/>
      <c r="H316" s="13"/>
    </row>
    <row r="317">
      <c r="F317" s="13"/>
      <c r="G317" s="13"/>
      <c r="H317" s="13"/>
    </row>
    <row r="318">
      <c r="F318" s="13"/>
      <c r="G318" s="13"/>
      <c r="H318" s="13"/>
    </row>
    <row r="319">
      <c r="F319" s="13"/>
      <c r="G319" s="13"/>
      <c r="H319" s="13"/>
    </row>
    <row r="320">
      <c r="F320" s="13"/>
      <c r="G320" s="13"/>
      <c r="H320" s="13"/>
    </row>
    <row r="321">
      <c r="F321" s="13"/>
      <c r="G321" s="13"/>
      <c r="H321" s="13"/>
    </row>
    <row r="322">
      <c r="F322" s="13"/>
      <c r="G322" s="13"/>
      <c r="H322" s="13"/>
    </row>
    <row r="323">
      <c r="F323" s="13"/>
      <c r="G323" s="13"/>
      <c r="H323" s="13"/>
    </row>
    <row r="324">
      <c r="F324" s="13"/>
      <c r="G324" s="13"/>
      <c r="H324" s="13"/>
    </row>
    <row r="325">
      <c r="F325" s="13"/>
      <c r="G325" s="13"/>
      <c r="H325" s="13"/>
    </row>
    <row r="326">
      <c r="F326" s="13"/>
      <c r="G326" s="13"/>
      <c r="H326" s="13"/>
    </row>
    <row r="327">
      <c r="F327" s="13"/>
      <c r="G327" s="13"/>
      <c r="H327" s="13"/>
    </row>
    <row r="328">
      <c r="F328" s="13"/>
      <c r="G328" s="13"/>
      <c r="H328" s="13"/>
    </row>
    <row r="329">
      <c r="F329" s="13"/>
      <c r="G329" s="13"/>
      <c r="H329" s="13"/>
    </row>
    <row r="330">
      <c r="F330" s="13"/>
      <c r="G330" s="13"/>
      <c r="H330" s="13"/>
    </row>
    <row r="331">
      <c r="F331" s="13"/>
      <c r="G331" s="13"/>
      <c r="H331" s="13"/>
    </row>
    <row r="332">
      <c r="F332" s="13"/>
      <c r="G332" s="13"/>
      <c r="H332" s="13"/>
    </row>
    <row r="333">
      <c r="F333" s="13"/>
      <c r="G333" s="13"/>
      <c r="H333" s="13"/>
    </row>
    <row r="334">
      <c r="F334" s="13"/>
      <c r="G334" s="13"/>
      <c r="H334" s="13"/>
    </row>
    <row r="335">
      <c r="F335" s="13"/>
      <c r="G335" s="13"/>
      <c r="H335" s="13"/>
    </row>
    <row r="336">
      <c r="F336" s="13"/>
      <c r="G336" s="13"/>
      <c r="H336" s="13"/>
    </row>
    <row r="337">
      <c r="F337" s="13"/>
      <c r="G337" s="13"/>
      <c r="H337" s="13"/>
    </row>
    <row r="338">
      <c r="F338" s="13"/>
      <c r="G338" s="13"/>
      <c r="H338" s="13"/>
    </row>
    <row r="339">
      <c r="F339" s="13"/>
      <c r="G339" s="13"/>
      <c r="H339" s="13"/>
    </row>
    <row r="340">
      <c r="F340" s="13"/>
      <c r="G340" s="13"/>
      <c r="H340" s="13"/>
    </row>
    <row r="341">
      <c r="F341" s="13"/>
      <c r="G341" s="13"/>
      <c r="H341" s="13"/>
    </row>
    <row r="342">
      <c r="F342" s="13"/>
      <c r="G342" s="13"/>
      <c r="H342" s="13"/>
    </row>
    <row r="343">
      <c r="F343" s="13"/>
      <c r="G343" s="13"/>
      <c r="H343" s="13"/>
    </row>
    <row r="344">
      <c r="F344" s="13"/>
      <c r="G344" s="13"/>
      <c r="H344" s="13"/>
    </row>
    <row r="345">
      <c r="F345" s="13"/>
      <c r="G345" s="13"/>
      <c r="H345" s="13"/>
    </row>
    <row r="346">
      <c r="F346" s="13"/>
      <c r="G346" s="13"/>
      <c r="H346" s="13"/>
    </row>
    <row r="347">
      <c r="F347" s="13"/>
      <c r="G347" s="13"/>
      <c r="H347" s="13"/>
    </row>
    <row r="348">
      <c r="F348" s="13"/>
      <c r="G348" s="13"/>
      <c r="H348" s="13"/>
    </row>
    <row r="349">
      <c r="F349" s="13"/>
      <c r="G349" s="13"/>
      <c r="H349" s="13"/>
    </row>
    <row r="350">
      <c r="F350" s="13"/>
      <c r="G350" s="13"/>
      <c r="H350" s="13"/>
    </row>
    <row r="351">
      <c r="F351" s="13"/>
      <c r="G351" s="13"/>
      <c r="H351" s="13"/>
    </row>
    <row r="352">
      <c r="F352" s="13"/>
      <c r="G352" s="13"/>
      <c r="H352" s="13"/>
    </row>
    <row r="353">
      <c r="F353" s="13"/>
      <c r="G353" s="13"/>
      <c r="H353" s="13"/>
    </row>
    <row r="354">
      <c r="F354" s="13"/>
      <c r="G354" s="13"/>
      <c r="H354" s="13"/>
    </row>
    <row r="355">
      <c r="F355" s="13"/>
      <c r="G355" s="13"/>
      <c r="H355" s="13"/>
    </row>
    <row r="356">
      <c r="F356" s="13"/>
      <c r="G356" s="13"/>
      <c r="H356" s="13"/>
    </row>
    <row r="357">
      <c r="F357" s="13"/>
      <c r="G357" s="13"/>
      <c r="H357" s="13"/>
    </row>
    <row r="358">
      <c r="F358" s="13"/>
      <c r="G358" s="13"/>
      <c r="H358" s="13"/>
    </row>
    <row r="359">
      <c r="F359" s="13"/>
      <c r="G359" s="13"/>
      <c r="H359" s="13"/>
    </row>
    <row r="360">
      <c r="F360" s="13"/>
      <c r="G360" s="13"/>
      <c r="H360" s="13"/>
    </row>
    <row r="361">
      <c r="F361" s="13"/>
      <c r="G361" s="13"/>
      <c r="H361" s="13"/>
    </row>
    <row r="362">
      <c r="F362" s="13"/>
      <c r="G362" s="13"/>
      <c r="H362" s="13"/>
    </row>
    <row r="363">
      <c r="F363" s="13"/>
      <c r="G363" s="13"/>
      <c r="H363" s="13"/>
    </row>
    <row r="364">
      <c r="F364" s="13"/>
      <c r="G364" s="13"/>
      <c r="H364" s="13"/>
    </row>
    <row r="365">
      <c r="F365" s="13"/>
      <c r="G365" s="13"/>
      <c r="H365" s="13"/>
    </row>
    <row r="366">
      <c r="F366" s="13"/>
      <c r="G366" s="13"/>
      <c r="H366" s="13"/>
    </row>
    <row r="367">
      <c r="F367" s="13"/>
      <c r="G367" s="13"/>
      <c r="H367" s="13"/>
    </row>
    <row r="368">
      <c r="F368" s="13"/>
      <c r="G368" s="13"/>
      <c r="H368" s="13"/>
    </row>
    <row r="369">
      <c r="F369" s="13"/>
      <c r="G369" s="13"/>
      <c r="H369" s="13"/>
    </row>
    <row r="370">
      <c r="F370" s="13"/>
      <c r="G370" s="13"/>
      <c r="H370" s="13"/>
    </row>
    <row r="371">
      <c r="F371" s="13"/>
      <c r="G371" s="13"/>
      <c r="H371" s="13"/>
    </row>
    <row r="372">
      <c r="F372" s="13"/>
      <c r="G372" s="13"/>
      <c r="H372" s="13"/>
    </row>
    <row r="373">
      <c r="F373" s="13"/>
      <c r="G373" s="13"/>
      <c r="H373" s="13"/>
    </row>
    <row r="374">
      <c r="F374" s="13"/>
      <c r="G374" s="13"/>
      <c r="H374" s="13"/>
    </row>
    <row r="375">
      <c r="F375" s="13"/>
      <c r="G375" s="13"/>
      <c r="H375" s="13"/>
    </row>
    <row r="376">
      <c r="F376" s="13"/>
      <c r="G376" s="13"/>
      <c r="H376" s="13"/>
    </row>
    <row r="377">
      <c r="F377" s="13"/>
      <c r="G377" s="13"/>
      <c r="H377" s="13"/>
    </row>
    <row r="378">
      <c r="F378" s="13"/>
      <c r="G378" s="13"/>
      <c r="H378" s="13"/>
    </row>
    <row r="379">
      <c r="F379" s="13"/>
      <c r="G379" s="13"/>
      <c r="H379" s="13"/>
    </row>
    <row r="380">
      <c r="F380" s="13"/>
      <c r="G380" s="13"/>
      <c r="H380" s="13"/>
    </row>
    <row r="381">
      <c r="F381" s="13"/>
      <c r="G381" s="13"/>
      <c r="H381" s="13"/>
    </row>
    <row r="382">
      <c r="F382" s="13"/>
      <c r="G382" s="13"/>
      <c r="H382" s="13"/>
    </row>
    <row r="383">
      <c r="F383" s="13"/>
      <c r="G383" s="13"/>
      <c r="H383" s="13"/>
    </row>
    <row r="384">
      <c r="F384" s="13"/>
      <c r="G384" s="13"/>
      <c r="H384" s="13"/>
    </row>
    <row r="385">
      <c r="F385" s="13"/>
      <c r="G385" s="13"/>
      <c r="H385" s="13"/>
    </row>
    <row r="386">
      <c r="F386" s="13"/>
      <c r="G386" s="13"/>
      <c r="H386" s="13"/>
    </row>
    <row r="387">
      <c r="F387" s="13"/>
      <c r="G387" s="13"/>
      <c r="H387" s="13"/>
    </row>
    <row r="388">
      <c r="F388" s="13"/>
      <c r="G388" s="13"/>
      <c r="H388" s="13"/>
    </row>
    <row r="389">
      <c r="F389" s="13"/>
      <c r="G389" s="13"/>
      <c r="H389" s="13"/>
    </row>
    <row r="390">
      <c r="F390" s="13"/>
      <c r="G390" s="13"/>
      <c r="H390" s="13"/>
    </row>
    <row r="391">
      <c r="F391" s="13"/>
      <c r="G391" s="13"/>
      <c r="H391" s="13"/>
    </row>
  </sheetData>
  <autoFilter ref="A1:U391"/>
  <conditionalFormatting sqref="K1:K1048576">
    <cfRule dxfId="0" priority="1" stopIfTrue="true" timePeriod="today" type="timePeriod">
      <formula>FLOOR(K1,1)=TODAY()</formula>
    </cfRule>
  </conditionalFormatting>
  <conditionalFormatting sqref="L1:L1048576">
    <cfRule dxfId="1" priority="2" stopIfTrue="true" timePeriod="today" type="timePeriod">
      <formula>FLOOR(L1,1)=TODAY()</formula>
    </cfRule>
  </conditionalFormatting>
  <conditionalFormatting sqref="K1:K1048576">
    <cfRule dxfId="2" priority="3" stopIfTrue="true" timePeriod="today" type="timePeriod">
      <formula>FLOOR(K1,1)=TODAY()</formula>
    </cfRule>
  </conditionalFormatting>
  <conditionalFormatting sqref="J1:J1048576">
    <cfRule dxfId="3" priority="4" stopIfTrue="true" timePeriod="today" type="timePeriod">
      <formula>FLOOR(J1,1)=TODAY()</formula>
    </cfRule>
  </conditionalFormatting>
  <dataValidations count="2">
    <dataValidation allowBlank="true" errorStyle="stop" showErrorMessage="true" sqref="H2:H181 H192:H211" type="list">
      <formula1>"Livestream,Video"</formula1>
    </dataValidation>
    <dataValidation allowBlank="true" errorStyle="stop" showErrorMessage="true" sqref="M2:M181" type="list">
      <formula1>" Đã Duyệt mẫu,Đã gửi Brief,Đã gửi hàng,Đã nhận hàng,Đã lên video"</formula1>
    </dataValidation>
  </dataValidation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6" min="6" style="0" width="17.328914664457315"/>
    <col collapsed="false" customWidth="true" hidden="false" max="1" min="1" style="0" width="11.211267605633802"/>
    <col collapsed="false" customWidth="true" hidden="false" max="2" min="2" style="0" width="15.605633802816902"/>
    <col collapsed="false" customWidth="true" hidden="false" max="3" min="3" style="0" width="11.211267605633802"/>
    <col collapsed="false" customWidth="true" hidden="false" max="4" min="4" style="0" width="22.067937033968512"/>
    <col collapsed="false" customWidth="true" hidden="false" max="5" min="5" style="0" width="15.605633802816902"/>
  </cols>
  <sheetData>
    <row r="1">
      <c r="A1" s="31" t="s">
        <v>360</v>
      </c>
      <c r="B1" s="31" t="s">
        <v>361</v>
      </c>
      <c r="C1" s="31" t="s">
        <v>362</v>
      </c>
      <c r="D1" s="31" t="s">
        <v>363</v>
      </c>
      <c r="E1" s="31" t="s">
        <v>364</v>
      </c>
      <c r="F1" s="31" t="s">
        <v>365</v>
      </c>
    </row>
    <row r="2">
      <c r="A2" s="32">
        <v>1</v>
      </c>
      <c r="B2" s="33" t="s">
        <v>366</v>
      </c>
      <c r="C2" s="34">
        <v>46244</v>
      </c>
      <c r="D2" s="35" t="s">
        <v>367</v>
      </c>
      <c r="E2" s="36">
        <f t="shared" ref="E2:E173" si="0">IFERROR(_xlfn.REGEXEXTRACT(D2,"/video/(\d+)"),"")</f>
      </c>
      <c r="F2" s="37" t="s">
        <v>368</v>
      </c>
    </row>
    <row r="3">
      <c r="A3" s="38">
        <f t="shared" ref="A3:A52" si="1">A2+1</f>
      </c>
      <c r="B3" s="38" t="s">
        <v>369</v>
      </c>
      <c r="C3" s="34">
        <v>46248</v>
      </c>
      <c r="D3" s="38" t="s">
        <v>370</v>
      </c>
      <c r="E3" s="36">
        <f t="shared" si="0"/>
      </c>
      <c r="F3" s="37" t="s">
        <v>371</v>
      </c>
    </row>
    <row r="4">
      <c r="A4" s="38">
        <f t="shared" si="1"/>
      </c>
      <c r="B4" s="33" t="s">
        <v>372</v>
      </c>
      <c r="C4" s="34">
        <v>46244</v>
      </c>
      <c r="D4" t="s">
        <v>373</v>
      </c>
      <c r="E4" s="36">
        <f t="shared" si="0"/>
      </c>
      <c r="F4" s="37"/>
    </row>
    <row r="5">
      <c r="A5" s="38">
        <f t="shared" si="1"/>
      </c>
      <c r="B5" t="s">
        <v>374</v>
      </c>
      <c r="C5" s="34">
        <v>46244</v>
      </c>
      <c r="D5" t="s">
        <v>375</v>
      </c>
      <c r="E5" s="36">
        <f t="shared" si="0"/>
      </c>
      <c r="F5" s="37" t="s">
        <v>376</v>
      </c>
    </row>
    <row r="6">
      <c r="A6" s="38">
        <f t="shared" si="1"/>
      </c>
      <c r="B6" t="s">
        <v>374</v>
      </c>
      <c r="C6" s="34">
        <v>46246</v>
      </c>
      <c r="D6" s="38" t="s">
        <v>377</v>
      </c>
      <c r="E6" s="36">
        <f t="shared" si="0"/>
      </c>
      <c r="F6" s="37" t="s">
        <v>378</v>
      </c>
    </row>
    <row r="7">
      <c r="A7" s="38">
        <f t="shared" si="1"/>
      </c>
      <c r="B7" t="s">
        <v>372</v>
      </c>
      <c r="C7" s="34">
        <v>46249</v>
      </c>
      <c r="D7" s="38" t="s">
        <v>379</v>
      </c>
      <c r="E7" s="36">
        <f t="shared" si="0"/>
      </c>
      <c r="F7" s="37"/>
    </row>
    <row r="8">
      <c r="A8" s="38">
        <f t="shared" si="1"/>
      </c>
      <c r="B8" s="38" t="s">
        <v>369</v>
      </c>
      <c r="C8" s="34">
        <v>46249</v>
      </c>
      <c r="D8" s="38" t="s">
        <v>380</v>
      </c>
      <c r="E8" s="36">
        <f t="shared" si="0"/>
      </c>
      <c r="F8" s="37"/>
    </row>
    <row r="9">
      <c r="A9" s="38">
        <f t="shared" si="1"/>
      </c>
      <c r="B9" s="38" t="s">
        <v>381</v>
      </c>
      <c r="C9" s="34">
        <v>46249</v>
      </c>
      <c r="D9" t="s">
        <v>382</v>
      </c>
      <c r="E9" s="36">
        <f t="shared" si="0"/>
      </c>
      <c r="F9" s="37"/>
    </row>
    <row r="10">
      <c r="A10" s="38">
        <f t="shared" si="1"/>
      </c>
      <c r="B10" s="38" t="s">
        <v>383</v>
      </c>
      <c r="C10" s="34">
        <v>46254</v>
      </c>
      <c r="D10" t="s">
        <v>384</v>
      </c>
      <c r="E10" s="36">
        <f t="shared" si="0"/>
      </c>
      <c r="F10" s="37" t="s">
        <v>385</v>
      </c>
    </row>
    <row r="11">
      <c r="A11" s="38">
        <f t="shared" si="1"/>
      </c>
      <c r="B11" s="38" t="s">
        <v>383</v>
      </c>
      <c r="C11" s="34">
        <v>46254</v>
      </c>
      <c r="D11" s="38" t="s">
        <v>386</v>
      </c>
      <c r="E11" s="36">
        <f t="shared" si="0"/>
      </c>
      <c r="F11" s="37" t="s">
        <v>387</v>
      </c>
    </row>
    <row r="12">
      <c r="A12" s="38">
        <f t="shared" si="1"/>
      </c>
      <c r="B12" s="38" t="s">
        <v>388</v>
      </c>
      <c r="C12" s="34">
        <v>46254</v>
      </c>
      <c r="D12" s="38" t="s">
        <v>389</v>
      </c>
      <c r="E12" s="36">
        <f t="shared" si="0"/>
      </c>
      <c r="F12" s="37" t="s">
        <v>390</v>
      </c>
    </row>
    <row r="13">
      <c r="A13" s="38">
        <f t="shared" si="1"/>
      </c>
      <c r="B13" s="38" t="s">
        <v>391</v>
      </c>
      <c r="C13" s="34">
        <v>46254</v>
      </c>
      <c r="D13" t="s">
        <v>392</v>
      </c>
      <c r="E13" s="36">
        <f t="shared" si="0"/>
      </c>
      <c r="F13" s="37"/>
    </row>
    <row r="14">
      <c r="A14" s="38">
        <f t="shared" si="1"/>
      </c>
      <c r="B14" t="s">
        <v>391</v>
      </c>
      <c r="C14" s="34">
        <v>46254</v>
      </c>
      <c r="D14" t="s">
        <v>393</v>
      </c>
      <c r="E14" s="36">
        <f t="shared" si="0"/>
      </c>
      <c r="F14" s="37"/>
    </row>
    <row r="15">
      <c r="A15" s="38">
        <f t="shared" si="1"/>
      </c>
      <c r="B15" t="s">
        <v>391</v>
      </c>
      <c r="C15" s="34">
        <v>46254</v>
      </c>
      <c r="D15" t="s">
        <v>394</v>
      </c>
      <c r="E15" s="36">
        <f t="shared" si="0"/>
      </c>
      <c r="F15" s="37"/>
    </row>
    <row r="16">
      <c r="A16" s="38">
        <f t="shared" si="1"/>
      </c>
      <c r="B16" s="38" t="s">
        <v>395</v>
      </c>
      <c r="C16" s="34">
        <v>46254</v>
      </c>
      <c r="D16" s="38" t="s">
        <v>396</v>
      </c>
      <c r="E16" s="36">
        <f t="shared" si="0"/>
      </c>
      <c r="F16" s="37"/>
    </row>
    <row r="17">
      <c r="A17" s="38">
        <f t="shared" si="1"/>
      </c>
      <c r="B17" s="38" t="s">
        <v>397</v>
      </c>
      <c r="C17" s="34">
        <v>46254</v>
      </c>
      <c r="D17" s="38" t="s">
        <v>398</v>
      </c>
      <c r="E17" s="36">
        <f t="shared" si="0"/>
      </c>
      <c r="F17" s="37" t="s">
        <v>399</v>
      </c>
    </row>
    <row r="18">
      <c r="A18" s="38">
        <f t="shared" si="1"/>
      </c>
      <c r="B18" s="38" t="s">
        <v>400</v>
      </c>
      <c r="C18" s="34">
        <v>46254</v>
      </c>
      <c r="D18" s="38" t="s">
        <v>401</v>
      </c>
      <c r="E18" s="36">
        <f t="shared" si="0"/>
      </c>
      <c r="F18" s="37"/>
    </row>
    <row r="19">
      <c r="A19" s="38">
        <f t="shared" si="1"/>
      </c>
      <c r="B19" s="38" t="s">
        <v>400</v>
      </c>
      <c r="C19" s="34">
        <v>46254</v>
      </c>
      <c r="D19" t="s">
        <v>402</v>
      </c>
      <c r="E19" s="36">
        <f t="shared" si="0"/>
      </c>
    </row>
    <row r="20">
      <c r="A20" s="38">
        <f t="shared" si="1"/>
      </c>
      <c r="B20" s="38" t="s">
        <v>400</v>
      </c>
      <c r="C20" s="34">
        <v>46254</v>
      </c>
      <c r="D20" t="s">
        <v>401</v>
      </c>
      <c r="E20" s="36">
        <f t="shared" si="0"/>
      </c>
    </row>
    <row r="21">
      <c r="A21" s="38">
        <f t="shared" si="1"/>
      </c>
      <c r="B21" s="38" t="s">
        <v>403</v>
      </c>
      <c r="C21" s="34">
        <v>46255</v>
      </c>
      <c r="D21" s="38" t="s">
        <v>404</v>
      </c>
      <c r="E21" s="36">
        <f t="shared" si="0"/>
      </c>
      <c r="F21" s="37" t="s">
        <v>405</v>
      </c>
    </row>
    <row r="22">
      <c r="A22" s="38">
        <f t="shared" si="1"/>
      </c>
      <c r="B22" s="38" t="s">
        <v>406</v>
      </c>
      <c r="C22" s="34">
        <v>46251</v>
      </c>
      <c r="D22" s="38" t="s">
        <v>407</v>
      </c>
      <c r="E22" s="36">
        <f t="shared" si="0"/>
      </c>
      <c r="F22" s="37"/>
    </row>
    <row r="23">
      <c r="A23" s="38">
        <f t="shared" si="1"/>
      </c>
      <c r="B23" s="38" t="s">
        <v>408</v>
      </c>
      <c r="C23" s="34">
        <v>46258</v>
      </c>
      <c r="D23" s="38" t="s">
        <v>409</v>
      </c>
      <c r="E23" s="36">
        <f t="shared" si="0"/>
      </c>
      <c r="F23" s="37"/>
    </row>
    <row r="24">
      <c r="A24" s="38">
        <f t="shared" si="1"/>
      </c>
      <c r="B24" s="38" t="s">
        <v>410</v>
      </c>
      <c r="C24" s="34">
        <v>46258</v>
      </c>
      <c r="D24" s="38" t="s">
        <v>411</v>
      </c>
      <c r="E24" s="36">
        <f t="shared" si="0"/>
      </c>
      <c r="F24" s="37" t="s">
        <v>412</v>
      </c>
    </row>
    <row r="25">
      <c r="A25" s="38">
        <f t="shared" si="1"/>
      </c>
      <c r="B25" s="38" t="s">
        <v>410</v>
      </c>
      <c r="C25" s="34">
        <v>46258</v>
      </c>
      <c r="D25" s="38" t="s">
        <v>413</v>
      </c>
      <c r="E25" s="36">
        <f t="shared" si="0"/>
      </c>
      <c r="F25" s="37" t="s">
        <v>414</v>
      </c>
    </row>
    <row r="26">
      <c r="A26" s="38">
        <f t="shared" si="1"/>
      </c>
      <c r="B26" s="38" t="s">
        <v>415</v>
      </c>
      <c r="C26" s="34">
        <v>46258</v>
      </c>
      <c r="D26" s="38" t="s">
        <v>416</v>
      </c>
      <c r="E26" s="36">
        <f t="shared" si="0"/>
      </c>
      <c r="F26" s="37" t="s">
        <v>417</v>
      </c>
    </row>
    <row r="27">
      <c r="A27" s="38">
        <f t="shared" si="1"/>
      </c>
      <c r="B27" s="38" t="s">
        <v>418</v>
      </c>
      <c r="C27" s="34">
        <v>46258</v>
      </c>
      <c r="D27" s="38" t="s">
        <v>419</v>
      </c>
      <c r="E27" s="36">
        <f t="shared" si="0"/>
      </c>
      <c r="F27" s="37"/>
    </row>
    <row r="28">
      <c r="A28" s="38">
        <f t="shared" si="1"/>
      </c>
      <c r="B28" s="38" t="s">
        <v>420</v>
      </c>
      <c r="C28" s="34">
        <v>46258</v>
      </c>
      <c r="D28" s="38" t="s">
        <v>421</v>
      </c>
      <c r="E28" s="36">
        <f t="shared" si="0"/>
      </c>
      <c r="F28" s="37" t="s">
        <v>422</v>
      </c>
    </row>
    <row r="29">
      <c r="A29" s="38">
        <f t="shared" si="1"/>
      </c>
      <c r="B29" t="s">
        <v>423</v>
      </c>
      <c r="C29" s="34">
        <v>46258</v>
      </c>
      <c r="D29" t="s">
        <v>424</v>
      </c>
      <c r="E29" s="36">
        <f t="shared" si="0"/>
      </c>
      <c r="F29" s="37" t="s">
        <v>425</v>
      </c>
    </row>
    <row r="30">
      <c r="A30" s="39">
        <f t="shared" si="1"/>
      </c>
      <c r="B30" s="39" t="s">
        <v>426</v>
      </c>
      <c r="C30" s="34">
        <v>46255</v>
      </c>
      <c r="D30" s="40" t="s">
        <v>427</v>
      </c>
      <c r="E30" s="41">
        <f t="shared" si="0"/>
      </c>
      <c r="F30" s="40"/>
      <c r="G30" s="40"/>
      <c r="H30" s="40"/>
      <c r="I30" s="40"/>
      <c r="J30" s="40"/>
      <c r="K30" s="40"/>
      <c r="L30" s="40"/>
      <c r="M30" s="40"/>
      <c r="N30" s="40"/>
      <c r="O30" s="40"/>
      <c r="P30" s="40"/>
      <c r="Q30" s="40"/>
      <c r="R30" s="40"/>
      <c r="S30" s="40"/>
      <c r="T30" s="40"/>
      <c r="U30" s="40"/>
    </row>
    <row r="31">
      <c r="A31" s="38">
        <f t="shared" si="1"/>
      </c>
      <c r="B31" s="38" t="s">
        <v>426</v>
      </c>
      <c r="C31" s="34">
        <v>46256</v>
      </c>
      <c r="D31" s="38" t="s">
        <v>428</v>
      </c>
      <c r="E31" s="36">
        <f t="shared" si="0"/>
      </c>
    </row>
    <row r="32">
      <c r="A32" s="38">
        <f t="shared" si="1"/>
      </c>
      <c r="B32" s="38" t="s">
        <v>426</v>
      </c>
      <c r="C32" s="34">
        <v>46257</v>
      </c>
      <c r="D32" s="38" t="s">
        <v>429</v>
      </c>
      <c r="E32" s="36">
        <f t="shared" si="0"/>
      </c>
    </row>
    <row r="33">
      <c r="A33" s="38">
        <f t="shared" si="1"/>
      </c>
      <c r="B33" s="38" t="s">
        <v>426</v>
      </c>
      <c r="C33" s="34">
        <v>46258</v>
      </c>
      <c r="D33" s="38" t="s">
        <v>430</v>
      </c>
      <c r="E33" s="36">
        <f t="shared" si="0"/>
      </c>
    </row>
    <row r="34">
      <c r="A34" s="38">
        <f t="shared" si="1"/>
      </c>
      <c r="B34" s="38" t="s">
        <v>431</v>
      </c>
      <c r="C34" s="34">
        <v>46252</v>
      </c>
      <c r="D34" t="s">
        <v>432</v>
      </c>
      <c r="E34" s="36">
        <f t="shared" si="0"/>
      </c>
    </row>
    <row r="35">
      <c r="A35" s="38">
        <f t="shared" si="1"/>
      </c>
      <c r="B35" s="38" t="s">
        <v>431</v>
      </c>
      <c r="C35" s="34">
        <v>46252</v>
      </c>
      <c r="D35" t="s">
        <v>433</v>
      </c>
      <c r="E35" s="36">
        <f t="shared" si="0"/>
      </c>
    </row>
    <row r="36">
      <c r="A36" s="38">
        <f t="shared" si="1"/>
      </c>
      <c r="B36" s="38" t="s">
        <v>431</v>
      </c>
      <c r="C36" s="34">
        <v>46252</v>
      </c>
      <c r="D36" t="s">
        <v>434</v>
      </c>
      <c r="E36" s="36">
        <f t="shared" si="0"/>
      </c>
    </row>
    <row r="37">
      <c r="A37" s="38">
        <f t="shared" si="1"/>
      </c>
      <c r="B37" s="38" t="s">
        <v>435</v>
      </c>
      <c r="C37" s="34">
        <v>46253</v>
      </c>
      <c r="D37" s="38" t="s">
        <v>436</v>
      </c>
      <c r="E37" s="36">
        <f t="shared" si="0"/>
      </c>
    </row>
    <row r="38">
      <c r="A38" s="38">
        <f t="shared" si="1"/>
      </c>
      <c r="B38" s="38" t="s">
        <v>406</v>
      </c>
      <c r="C38" s="34">
        <v>46253</v>
      </c>
      <c r="D38" t="s">
        <v>437</v>
      </c>
      <c r="E38" s="36">
        <f t="shared" si="0"/>
      </c>
    </row>
    <row r="39">
      <c r="A39" s="38">
        <f t="shared" si="1"/>
      </c>
      <c r="B39" s="38" t="s">
        <v>438</v>
      </c>
      <c r="C39" s="34">
        <v>46253</v>
      </c>
      <c r="D39" t="s">
        <v>439</v>
      </c>
      <c r="E39" s="36">
        <f t="shared" si="0"/>
      </c>
    </row>
    <row r="40">
      <c r="A40" s="38">
        <f t="shared" si="1"/>
      </c>
      <c r="B40" s="38" t="s">
        <v>440</v>
      </c>
      <c r="C40" s="34">
        <v>46253</v>
      </c>
      <c r="D40" t="s">
        <v>441</v>
      </c>
      <c r="E40" s="36">
        <f t="shared" si="0"/>
      </c>
    </row>
    <row r="41">
      <c r="A41" s="38">
        <f t="shared" si="1"/>
      </c>
      <c r="B41" s="42" t="s">
        <v>442</v>
      </c>
      <c r="C41" s="34">
        <v>46254</v>
      </c>
      <c r="D41" s="38" t="s">
        <v>443</v>
      </c>
      <c r="E41" s="36">
        <f t="shared" si="0"/>
      </c>
    </row>
    <row r="42">
      <c r="A42" s="38">
        <f t="shared" si="1"/>
      </c>
      <c r="B42" s="38" t="s">
        <v>442</v>
      </c>
      <c r="C42" s="34">
        <v>46254</v>
      </c>
      <c r="D42" s="38" t="s">
        <v>444</v>
      </c>
      <c r="E42" s="36">
        <f t="shared" si="0"/>
      </c>
      <c r="F42" s="37"/>
    </row>
    <row r="43">
      <c r="A43" s="38">
        <f t="shared" si="1"/>
      </c>
      <c r="B43" s="38" t="s">
        <v>442</v>
      </c>
      <c r="C43" s="34">
        <v>46254</v>
      </c>
      <c r="D43" s="38" t="s">
        <v>445</v>
      </c>
      <c r="E43" s="36">
        <f t="shared" si="0"/>
      </c>
    </row>
    <row r="44">
      <c r="A44" s="38">
        <f t="shared" si="1"/>
      </c>
      <c r="B44" s="38" t="s">
        <v>442</v>
      </c>
      <c r="C44" s="34">
        <v>46254</v>
      </c>
      <c r="D44" s="38" t="s">
        <v>446</v>
      </c>
      <c r="E44" s="36">
        <f t="shared" si="0"/>
      </c>
    </row>
    <row r="45">
      <c r="A45" s="38">
        <f t="shared" si="1"/>
      </c>
      <c r="B45" s="38" t="s">
        <v>447</v>
      </c>
      <c r="C45" s="34">
        <v>46254</v>
      </c>
      <c r="D45" s="38" t="s">
        <v>448</v>
      </c>
      <c r="E45" s="36">
        <f t="shared" si="0"/>
      </c>
    </row>
    <row customHeight="true" ht="16.071428571428573" r="46">
      <c r="A46" s="38">
        <f t="shared" si="1"/>
      </c>
      <c r="B46" s="38" t="s">
        <v>426</v>
      </c>
      <c r="C46" s="34">
        <v>46254</v>
      </c>
      <c r="D46" s="38" t="s">
        <v>449</v>
      </c>
      <c r="E46" s="36">
        <f t="shared" si="0"/>
      </c>
      <c r="F46" s="37"/>
    </row>
    <row customHeight="true" ht="16.071428571428573" r="47">
      <c r="A47" s="38">
        <f t="shared" si="1"/>
      </c>
      <c r="B47" s="38" t="s">
        <v>426</v>
      </c>
      <c r="C47" s="34">
        <v>46254</v>
      </c>
      <c r="D47" s="38" t="s">
        <v>450</v>
      </c>
      <c r="E47" s="36">
        <f t="shared" si="0"/>
      </c>
      <c r="F47" s="37"/>
    </row>
    <row customHeight="true" ht="16.071428571428573" r="48">
      <c r="A48" s="38">
        <f t="shared" si="1"/>
      </c>
      <c r="B48" s="33" t="s">
        <v>426</v>
      </c>
      <c r="C48" s="34">
        <v>46254</v>
      </c>
      <c r="D48" s="38" t="s">
        <v>451</v>
      </c>
      <c r="E48" s="36">
        <f t="shared" si="0"/>
      </c>
      <c r="F48" s="37"/>
    </row>
    <row customHeight="true" ht="16.071428571428573" r="49">
      <c r="A49" s="38">
        <f t="shared" si="1"/>
      </c>
      <c r="B49" s="38" t="s">
        <v>452</v>
      </c>
      <c r="C49" s="34">
        <v>46254</v>
      </c>
      <c r="D49" s="38" t="s">
        <v>453</v>
      </c>
      <c r="E49" s="36">
        <f t="shared" si="0"/>
      </c>
      <c r="F49" s="37"/>
    </row>
    <row customHeight="true" ht="16.071428571428573" r="50">
      <c r="A50" s="38">
        <f t="shared" si="1"/>
      </c>
      <c r="B50" s="38" t="s">
        <v>454</v>
      </c>
      <c r="C50" s="34">
        <v>46254</v>
      </c>
      <c r="D50" s="38" t="s">
        <v>455</v>
      </c>
      <c r="E50" s="36">
        <f t="shared" si="0"/>
      </c>
      <c r="F50" s="37"/>
    </row>
    <row customHeight="true" ht="16.071428571428573" r="51">
      <c r="A51" s="38">
        <f t="shared" si="1"/>
      </c>
      <c r="B51" s="38" t="s">
        <v>454</v>
      </c>
      <c r="C51" s="34">
        <v>46254</v>
      </c>
      <c r="D51" s="38" t="s">
        <v>456</v>
      </c>
      <c r="E51" s="36">
        <f t="shared" si="0"/>
      </c>
    </row>
    <row customHeight="true" ht="16.071428571428573" r="52">
      <c r="A52" s="38">
        <f t="shared" si="1"/>
      </c>
      <c r="B52" s="38" t="s">
        <v>454</v>
      </c>
      <c r="C52" s="34">
        <v>46254</v>
      </c>
      <c r="D52" s="38" t="s">
        <v>457</v>
      </c>
      <c r="E52" s="36">
        <f t="shared" si="0"/>
      </c>
    </row>
    <row r="53">
      <c r="A53" s="38">
        <f>A45+1</f>
      </c>
      <c r="B53" s="38" t="s">
        <v>418</v>
      </c>
      <c r="C53" s="34">
        <v>46255</v>
      </c>
      <c r="D53" s="38" t="s">
        <v>458</v>
      </c>
      <c r="E53" s="36">
        <f t="shared" si="0"/>
      </c>
    </row>
    <row r="54">
      <c r="A54" s="38">
        <f t="shared" ref="A54:A165" si="2">A53+1</f>
      </c>
      <c r="B54" s="43" t="s">
        <v>418</v>
      </c>
      <c r="C54" s="34">
        <v>46255</v>
      </c>
      <c r="D54" t="s">
        <v>459</v>
      </c>
      <c r="E54" s="36">
        <f t="shared" si="0"/>
      </c>
    </row>
    <row r="55">
      <c r="A55" s="38">
        <f t="shared" si="2"/>
      </c>
      <c r="B55" s="38" t="s">
        <v>460</v>
      </c>
      <c r="C55" s="34">
        <v>46255</v>
      </c>
      <c r="D55" s="38" t="s">
        <v>461</v>
      </c>
      <c r="E55" s="36">
        <f t="shared" si="0"/>
      </c>
    </row>
    <row r="56">
      <c r="A56" s="38">
        <f t="shared" si="2"/>
      </c>
      <c r="B56" s="38" t="s">
        <v>374</v>
      </c>
      <c r="C56" s="34">
        <v>46255</v>
      </c>
      <c r="D56" s="38" t="s">
        <v>462</v>
      </c>
      <c r="E56" s="36">
        <f t="shared" si="0"/>
      </c>
    </row>
    <row r="57">
      <c r="A57" s="38">
        <f t="shared" si="2"/>
      </c>
      <c r="B57" s="38" t="s">
        <v>463</v>
      </c>
      <c r="C57" s="34">
        <v>46255</v>
      </c>
      <c r="D57" s="38" t="s">
        <v>464</v>
      </c>
      <c r="E57" s="36">
        <f t="shared" si="0"/>
      </c>
    </row>
    <row r="58">
      <c r="A58" s="38">
        <f t="shared" si="2"/>
      </c>
      <c r="B58" s="38" t="s">
        <v>465</v>
      </c>
      <c r="C58" s="34">
        <v>46256</v>
      </c>
      <c r="D58" s="38" t="s">
        <v>466</v>
      </c>
      <c r="E58" s="36">
        <f t="shared" si="0"/>
      </c>
    </row>
    <row r="59">
      <c r="A59" s="38">
        <f t="shared" si="2"/>
      </c>
      <c r="B59" s="38" t="s">
        <v>467</v>
      </c>
      <c r="C59" s="34">
        <v>46256</v>
      </c>
      <c r="D59" s="38" t="s">
        <v>468</v>
      </c>
      <c r="E59" s="36">
        <f t="shared" si="0"/>
      </c>
    </row>
    <row r="60">
      <c r="A60" s="38">
        <f t="shared" si="2"/>
      </c>
      <c r="B60" s="38" t="s">
        <v>469</v>
      </c>
      <c r="C60" s="34">
        <v>46256</v>
      </c>
      <c r="D60" s="38" t="s">
        <v>470</v>
      </c>
      <c r="E60" s="36">
        <f t="shared" si="0"/>
      </c>
    </row>
    <row r="61">
      <c r="A61" s="38">
        <f t="shared" si="2"/>
      </c>
      <c r="B61" s="38" t="s">
        <v>469</v>
      </c>
      <c r="C61" s="34">
        <v>46256</v>
      </c>
      <c r="D61" s="38" t="s">
        <v>471</v>
      </c>
      <c r="E61" s="36">
        <f t="shared" si="0"/>
      </c>
    </row>
    <row r="62">
      <c r="A62" s="38">
        <f t="shared" si="2"/>
      </c>
      <c r="B62" s="38" t="s">
        <v>472</v>
      </c>
      <c r="C62" s="34">
        <v>46256</v>
      </c>
      <c r="D62" t="s">
        <v>473</v>
      </c>
      <c r="E62" s="36">
        <f t="shared" si="0"/>
      </c>
    </row>
    <row r="63">
      <c r="A63" s="38">
        <f t="shared" si="2"/>
      </c>
      <c r="B63" s="38" t="s">
        <v>391</v>
      </c>
      <c r="C63" s="34">
        <v>46257</v>
      </c>
      <c r="D63" s="38" t="s">
        <v>474</v>
      </c>
      <c r="E63" s="36">
        <f t="shared" si="0"/>
      </c>
    </row>
    <row r="64">
      <c r="A64" s="38">
        <f t="shared" si="2"/>
      </c>
      <c r="B64" s="38" t="s">
        <v>391</v>
      </c>
      <c r="C64" s="34">
        <v>46257</v>
      </c>
      <c r="D64" t="s">
        <v>475</v>
      </c>
      <c r="E64" s="36">
        <f t="shared" si="0"/>
      </c>
    </row>
    <row r="65">
      <c r="A65" s="38">
        <f t="shared" si="2"/>
      </c>
      <c r="B65" s="38" t="s">
        <v>476</v>
      </c>
      <c r="C65" s="34">
        <v>46257</v>
      </c>
      <c r="D65" s="38" t="s">
        <v>477</v>
      </c>
      <c r="E65" s="36">
        <f t="shared" si="0"/>
      </c>
    </row>
    <row r="66">
      <c r="A66" s="38">
        <f t="shared" si="2"/>
      </c>
      <c r="B66" s="38" t="s">
        <v>478</v>
      </c>
      <c r="C66" s="34">
        <v>46259</v>
      </c>
      <c r="D66" s="38" t="s">
        <v>479</v>
      </c>
      <c r="E66" s="36">
        <f t="shared" si="0"/>
      </c>
      <c r="F66" t="s">
        <v>480</v>
      </c>
    </row>
    <row r="67">
      <c r="A67" s="38">
        <f t="shared" si="2"/>
      </c>
      <c r="B67" s="38" t="s">
        <v>481</v>
      </c>
      <c r="C67" s="34">
        <v>46259</v>
      </c>
      <c r="D67" s="38" t="s">
        <v>482</v>
      </c>
      <c r="E67" s="36">
        <f t="shared" si="0"/>
      </c>
    </row>
    <row r="68">
      <c r="A68" s="38">
        <f t="shared" si="2"/>
      </c>
      <c r="B68" s="38" t="s">
        <v>374</v>
      </c>
      <c r="C68" s="34">
        <v>46259</v>
      </c>
      <c r="D68" t="s">
        <v>483</v>
      </c>
      <c r="E68" s="36">
        <f t="shared" si="0"/>
      </c>
      <c r="F68" t="s">
        <v>484</v>
      </c>
    </row>
    <row r="69">
      <c r="A69" s="38">
        <f t="shared" si="2"/>
      </c>
      <c r="B69" s="38" t="s">
        <v>372</v>
      </c>
      <c r="C69" s="34">
        <v>46258</v>
      </c>
      <c r="D69" s="38" t="s">
        <v>485</v>
      </c>
      <c r="E69" s="36">
        <f t="shared" si="0"/>
      </c>
    </row>
    <row r="70">
      <c r="A70" s="38">
        <f t="shared" si="2"/>
      </c>
      <c r="B70" s="38" t="s">
        <v>486</v>
      </c>
      <c r="C70" s="34">
        <v>46258</v>
      </c>
      <c r="D70" s="38" t="s">
        <v>487</v>
      </c>
      <c r="E70" s="36">
        <f t="shared" si="0"/>
      </c>
    </row>
    <row r="71">
      <c r="A71" s="38">
        <f t="shared" si="2"/>
      </c>
      <c r="B71" s="38" t="s">
        <v>486</v>
      </c>
      <c r="C71" s="34">
        <v>46258</v>
      </c>
      <c r="D71" t="s">
        <v>488</v>
      </c>
      <c r="E71" s="36">
        <f t="shared" si="0"/>
      </c>
    </row>
    <row r="72">
      <c r="A72" s="38">
        <f t="shared" si="2"/>
      </c>
      <c r="B72" s="38" t="s">
        <v>489</v>
      </c>
      <c r="C72" s="34">
        <v>46258</v>
      </c>
      <c r="D72" s="38" t="s">
        <v>490</v>
      </c>
      <c r="E72" s="36">
        <f t="shared" si="0"/>
      </c>
    </row>
    <row r="73">
      <c r="A73" s="38">
        <f t="shared" si="2"/>
      </c>
      <c r="B73" s="38" t="s">
        <v>491</v>
      </c>
      <c r="C73" s="34">
        <v>46258</v>
      </c>
      <c r="D73" s="38" t="s">
        <v>492</v>
      </c>
      <c r="E73" s="36">
        <f t="shared" si="0"/>
      </c>
    </row>
    <row r="74">
      <c r="A74" s="38">
        <f t="shared" si="2"/>
      </c>
      <c r="B74" s="38" t="s">
        <v>493</v>
      </c>
      <c r="C74" s="34">
        <v>46258</v>
      </c>
      <c r="D74" s="38" t="s">
        <v>494</v>
      </c>
      <c r="E74" s="36">
        <f t="shared" si="0"/>
      </c>
    </row>
    <row r="75">
      <c r="A75" s="38">
        <f t="shared" si="2"/>
      </c>
      <c r="B75" s="38" t="s">
        <v>493</v>
      </c>
      <c r="C75" s="34">
        <v>46258</v>
      </c>
      <c r="D75" t="s">
        <v>495</v>
      </c>
      <c r="E75" s="36">
        <f t="shared" si="0"/>
      </c>
    </row>
    <row r="76">
      <c r="A76" s="38">
        <f t="shared" si="2"/>
      </c>
      <c r="B76" s="38" t="s">
        <v>442</v>
      </c>
      <c r="C76" s="34">
        <v>46259</v>
      </c>
      <c r="D76" t="s">
        <v>496</v>
      </c>
      <c r="E76" s="36">
        <f t="shared" si="0"/>
      </c>
    </row>
    <row r="77">
      <c r="A77" s="38">
        <f t="shared" si="2"/>
      </c>
      <c r="B77" s="38" t="s">
        <v>493</v>
      </c>
      <c r="C77" s="34">
        <v>46259</v>
      </c>
      <c r="D77" s="38" t="s">
        <v>497</v>
      </c>
      <c r="E77" s="36">
        <f t="shared" si="0"/>
      </c>
    </row>
    <row r="78">
      <c r="A78" s="38">
        <f t="shared" si="2"/>
      </c>
      <c r="B78" s="38" t="s">
        <v>498</v>
      </c>
      <c r="C78" s="34">
        <v>46259</v>
      </c>
      <c r="D78" s="38" t="s">
        <v>499</v>
      </c>
      <c r="E78" s="36">
        <f t="shared" si="0"/>
      </c>
    </row>
    <row r="79">
      <c r="A79" s="38">
        <f t="shared" si="2"/>
      </c>
      <c r="B79" s="38" t="s">
        <v>388</v>
      </c>
      <c r="C79" s="34">
        <v>46259</v>
      </c>
      <c r="D79" s="38" t="s">
        <v>500</v>
      </c>
      <c r="E79" s="36">
        <f t="shared" si="0"/>
      </c>
    </row>
    <row r="80">
      <c r="A80" s="38">
        <f t="shared" si="2"/>
      </c>
      <c r="B80" s="38" t="s">
        <v>501</v>
      </c>
      <c r="C80" s="34">
        <v>46259</v>
      </c>
      <c r="D80" t="s">
        <v>502</v>
      </c>
      <c r="E80" s="36">
        <f t="shared" si="0"/>
      </c>
    </row>
    <row r="81">
      <c r="A81" s="38">
        <f t="shared" si="2"/>
      </c>
      <c r="B81" s="38" t="s">
        <v>426</v>
      </c>
      <c r="C81" s="34">
        <v>46259</v>
      </c>
      <c r="D81" t="s">
        <v>503</v>
      </c>
      <c r="E81" s="36">
        <f t="shared" si="0"/>
      </c>
    </row>
    <row r="82">
      <c r="A82" s="38">
        <f t="shared" si="2"/>
      </c>
      <c r="B82" s="38" t="s">
        <v>426</v>
      </c>
      <c r="C82" s="34">
        <v>46259</v>
      </c>
      <c r="D82" t="s">
        <v>504</v>
      </c>
      <c r="E82" s="36">
        <f t="shared" si="0"/>
      </c>
    </row>
    <row r="83">
      <c r="A83" s="38">
        <f t="shared" si="2"/>
      </c>
      <c r="B83" s="38" t="s">
        <v>493</v>
      </c>
      <c r="C83" s="34">
        <v>46259</v>
      </c>
      <c r="D83" t="s">
        <v>505</v>
      </c>
      <c r="E83" s="36">
        <f t="shared" si="0"/>
      </c>
    </row>
    <row customHeight="true" ht="16.071428571428573" r="84">
      <c r="A84" s="38">
        <f t="shared" si="2"/>
      </c>
      <c r="B84" s="38" t="s">
        <v>493</v>
      </c>
      <c r="C84" s="34">
        <v>46260</v>
      </c>
      <c r="D84" t="s">
        <v>506</v>
      </c>
      <c r="E84" s="36">
        <f t="shared" si="0"/>
      </c>
    </row>
    <row customHeight="true" ht="16.071428571428573" r="85">
      <c r="A85" s="38">
        <f t="shared" si="2"/>
      </c>
      <c r="B85" s="38" t="s">
        <v>442</v>
      </c>
      <c r="C85" s="34">
        <v>46260</v>
      </c>
      <c r="D85" t="s">
        <v>507</v>
      </c>
      <c r="E85" s="36">
        <f t="shared" si="0"/>
      </c>
    </row>
    <row customHeight="true" ht="16.071428571428573" r="86">
      <c r="A86" s="38">
        <f t="shared" si="2"/>
      </c>
      <c r="B86" s="38" t="s">
        <v>372</v>
      </c>
      <c r="C86" s="34">
        <v>46260</v>
      </c>
      <c r="D86" t="s">
        <v>508</v>
      </c>
      <c r="E86" s="36">
        <f t="shared" si="0"/>
      </c>
    </row>
    <row customHeight="true" ht="16.071428571428573" r="87">
      <c r="A87" s="38">
        <f t="shared" si="2"/>
      </c>
      <c r="B87" s="43" t="s">
        <v>509</v>
      </c>
      <c r="C87" s="34">
        <v>46260</v>
      </c>
      <c r="D87" s="38" t="s">
        <v>510</v>
      </c>
      <c r="E87" s="36">
        <f t="shared" si="0"/>
      </c>
    </row>
    <row customHeight="true" ht="16.071428571428573" r="88">
      <c r="A88" s="38">
        <f t="shared" si="2"/>
      </c>
      <c r="B88" s="38" t="s">
        <v>501</v>
      </c>
      <c r="C88" s="34">
        <v>46260</v>
      </c>
      <c r="D88" t="s">
        <v>511</v>
      </c>
      <c r="E88" s="36">
        <f t="shared" si="0"/>
      </c>
    </row>
    <row customHeight="true" ht="16.071428571428573" r="89">
      <c r="A89" s="38">
        <f t="shared" si="2"/>
      </c>
      <c r="B89" s="38" t="s">
        <v>512</v>
      </c>
      <c r="C89" s="34">
        <v>46260</v>
      </c>
      <c r="D89" t="s">
        <v>513</v>
      </c>
      <c r="E89" s="36">
        <f t="shared" si="0"/>
      </c>
      <c r="F89" s="38" t="s">
        <v>514</v>
      </c>
    </row>
    <row customHeight="true" ht="16.071428571428573" r="90">
      <c r="A90" s="38">
        <f t="shared" si="2"/>
      </c>
      <c r="B90" s="38" t="s">
        <v>515</v>
      </c>
      <c r="C90" s="34">
        <v>46260</v>
      </c>
      <c r="D90" s="38" t="s">
        <v>516</v>
      </c>
      <c r="E90" s="36">
        <f t="shared" si="0"/>
      </c>
    </row>
    <row customHeight="true" ht="16.071428571428573" r="91">
      <c r="A91" s="38">
        <f t="shared" si="2"/>
      </c>
      <c r="B91" s="38" t="s">
        <v>410</v>
      </c>
      <c r="C91" s="34">
        <v>46261</v>
      </c>
      <c r="D91" s="38" t="s">
        <v>517</v>
      </c>
      <c r="E91" s="36">
        <f t="shared" si="0"/>
      </c>
    </row>
    <row customHeight="true" ht="16.071428571428573" r="92">
      <c r="A92" s="38">
        <f t="shared" si="2"/>
      </c>
      <c r="B92" s="38" t="s">
        <v>374</v>
      </c>
      <c r="C92" s="34">
        <v>46261</v>
      </c>
      <c r="D92" t="s">
        <v>518</v>
      </c>
      <c r="E92" s="36">
        <f t="shared" si="0"/>
      </c>
    </row>
    <row customHeight="true" ht="16.071428571428573" r="93">
      <c r="A93" s="38">
        <f t="shared" si="2"/>
      </c>
      <c r="B93" s="38" t="s">
        <v>426</v>
      </c>
      <c r="C93" s="34">
        <v>46261</v>
      </c>
      <c r="D93" s="38" t="s">
        <v>519</v>
      </c>
      <c r="E93" s="36">
        <f t="shared" si="0"/>
      </c>
    </row>
    <row customHeight="true" ht="16.071428571428573" r="94">
      <c r="A94" s="38">
        <f t="shared" si="2"/>
      </c>
      <c r="B94" s="38" t="s">
        <v>520</v>
      </c>
      <c r="C94" s="34">
        <v>46262</v>
      </c>
      <c r="D94" t="s">
        <v>521</v>
      </c>
      <c r="E94" s="36">
        <f t="shared" si="0"/>
      </c>
      <c r="F94" t="s">
        <v>522</v>
      </c>
    </row>
    <row customHeight="true" ht="16.071428571428573" r="95">
      <c r="A95" s="38">
        <f t="shared" si="2"/>
      </c>
      <c r="B95" s="38" t="s">
        <v>523</v>
      </c>
      <c r="C95" s="34">
        <v>46262</v>
      </c>
      <c r="D95" t="s">
        <v>524</v>
      </c>
      <c r="E95" s="36">
        <f t="shared" si="0"/>
      </c>
    </row>
    <row customHeight="true" ht="16.071428571428573" r="96">
      <c r="A96" s="38">
        <f t="shared" si="2"/>
      </c>
      <c r="B96" s="44" t="s">
        <v>523</v>
      </c>
      <c r="C96" s="34">
        <v>46262</v>
      </c>
      <c r="D96" t="s">
        <v>525</v>
      </c>
      <c r="E96" s="36">
        <f t="shared" si="0"/>
      </c>
    </row>
    <row customHeight="true" ht="16.071428571428573" r="97">
      <c r="A97" s="38">
        <f t="shared" si="2"/>
      </c>
      <c r="B97" s="43" t="s">
        <v>509</v>
      </c>
      <c r="C97" s="34">
        <v>46262</v>
      </c>
      <c r="D97" s="38" t="s">
        <v>526</v>
      </c>
      <c r="E97" s="36">
        <f t="shared" si="0"/>
      </c>
    </row>
    <row customHeight="true" ht="16.071428571428573" r="98">
      <c r="A98" s="38">
        <f t="shared" si="2"/>
      </c>
      <c r="B98" s="38" t="s">
        <v>501</v>
      </c>
      <c r="C98" s="34">
        <v>46262</v>
      </c>
      <c r="D98" t="s">
        <v>527</v>
      </c>
      <c r="E98" s="36">
        <f t="shared" si="0"/>
      </c>
    </row>
    <row customHeight="true" ht="16.071428571428573" r="99">
      <c r="A99" s="38">
        <f t="shared" si="2"/>
      </c>
      <c r="B99" s="38" t="s">
        <v>426</v>
      </c>
      <c r="C99" s="34">
        <v>46262</v>
      </c>
      <c r="D99" t="s">
        <v>528</v>
      </c>
      <c r="E99" s="36">
        <f t="shared" si="0"/>
      </c>
    </row>
    <row customHeight="true" ht="16.071428571428573" r="100">
      <c r="A100" s="38">
        <f t="shared" si="2"/>
      </c>
      <c r="B100" s="43" t="s">
        <v>381</v>
      </c>
      <c r="C100" s="34">
        <v>46262</v>
      </c>
      <c r="D100" t="s">
        <v>529</v>
      </c>
      <c r="E100" s="36">
        <f t="shared" si="0"/>
      </c>
    </row>
    <row customHeight="true" ht="16.071428571428573" r="101">
      <c r="A101" s="38">
        <f t="shared" si="2"/>
      </c>
      <c r="B101" s="38" t="s">
        <v>489</v>
      </c>
      <c r="C101" s="34">
        <v>46262</v>
      </c>
      <c r="D101" s="38" t="s">
        <v>530</v>
      </c>
      <c r="E101" s="36">
        <f t="shared" si="0"/>
      </c>
    </row>
    <row customHeight="true" ht="16.071428571428573" r="102">
      <c r="A102" s="38">
        <f t="shared" si="2"/>
      </c>
      <c r="B102" s="38" t="s">
        <v>531</v>
      </c>
      <c r="C102" s="34">
        <v>46263</v>
      </c>
      <c r="D102" s="38" t="s">
        <v>532</v>
      </c>
      <c r="E102" s="36">
        <f t="shared" si="0"/>
      </c>
    </row>
    <row customHeight="true" ht="16.071428571428573" r="103">
      <c r="A103" s="38">
        <f t="shared" si="2"/>
      </c>
      <c r="B103" s="38" t="s">
        <v>533</v>
      </c>
      <c r="C103" s="34">
        <v>46263</v>
      </c>
      <c r="D103" t="s">
        <v>534</v>
      </c>
      <c r="E103" s="36">
        <f t="shared" si="0"/>
      </c>
      <c r="F103" s="38" t="s">
        <v>514</v>
      </c>
    </row>
    <row customHeight="true" ht="16.071428571428573" r="104">
      <c r="A104" s="38">
        <f t="shared" si="2"/>
      </c>
      <c r="B104" t="s">
        <v>533</v>
      </c>
      <c r="C104" s="34">
        <v>46263</v>
      </c>
      <c r="D104" t="s">
        <v>535</v>
      </c>
      <c r="E104" s="36">
        <f t="shared" si="0"/>
      </c>
      <c r="F104" s="38" t="s">
        <v>514</v>
      </c>
    </row>
    <row customHeight="true" ht="16.071428571428573" r="105">
      <c r="A105" s="38">
        <f t="shared" si="2"/>
      </c>
      <c r="B105" t="s">
        <v>533</v>
      </c>
      <c r="C105" s="34">
        <v>46263</v>
      </c>
      <c r="D105" t="s">
        <v>536</v>
      </c>
      <c r="E105" s="36">
        <f t="shared" si="0"/>
      </c>
      <c r="F105" s="38" t="s">
        <v>514</v>
      </c>
    </row>
    <row customHeight="true" ht="16.071428571428573" r="106">
      <c r="A106" s="38">
        <f t="shared" si="2"/>
      </c>
      <c r="B106" s="38" t="s">
        <v>438</v>
      </c>
      <c r="C106" s="34">
        <v>46263</v>
      </c>
      <c r="D106" t="s">
        <v>537</v>
      </c>
      <c r="E106" s="36">
        <f t="shared" si="0"/>
      </c>
    </row>
    <row customHeight="true" ht="16.071428571428573" r="107">
      <c r="A107" s="38">
        <f t="shared" si="2"/>
      </c>
      <c r="B107" s="38" t="s">
        <v>538</v>
      </c>
      <c r="C107" s="34">
        <v>46263</v>
      </c>
      <c r="D107" s="38" t="s">
        <v>539</v>
      </c>
      <c r="E107" s="36">
        <f t="shared" si="0"/>
      </c>
      <c r="F107" s="38" t="s">
        <v>540</v>
      </c>
    </row>
    <row customHeight="true" ht="16.071428571428573" r="108">
      <c r="A108" s="38">
        <f t="shared" si="2"/>
      </c>
      <c r="B108" s="38" t="s">
        <v>442</v>
      </c>
      <c r="C108" s="34">
        <v>46263</v>
      </c>
      <c r="D108" s="38" t="s">
        <v>541</v>
      </c>
      <c r="E108" s="36">
        <f t="shared" si="0"/>
      </c>
      <c r="F108" s="38" t="s">
        <v>514</v>
      </c>
    </row>
    <row customHeight="true" ht="16.071428571428573" r="109">
      <c r="A109" s="38">
        <f t="shared" si="2"/>
      </c>
      <c r="B109" s="38" t="s">
        <v>542</v>
      </c>
      <c r="C109" s="34">
        <v>46263</v>
      </c>
      <c r="D109" t="s">
        <v>543</v>
      </c>
      <c r="E109" s="36">
        <f t="shared" si="0"/>
      </c>
    </row>
    <row customHeight="true" ht="16.071428571428573" r="110">
      <c r="A110" s="38">
        <f t="shared" si="2"/>
      </c>
      <c r="B110" s="38" t="s">
        <v>542</v>
      </c>
      <c r="C110" s="34">
        <v>46263</v>
      </c>
      <c r="D110" t="s">
        <v>544</v>
      </c>
      <c r="E110" s="36">
        <f t="shared" si="0"/>
      </c>
    </row>
    <row customHeight="true" ht="16.071428571428573" r="111">
      <c r="A111" s="38">
        <f t="shared" si="2"/>
      </c>
      <c r="B111" s="38" t="s">
        <v>542</v>
      </c>
      <c r="C111" s="34">
        <v>46263</v>
      </c>
      <c r="D111" t="s">
        <v>545</v>
      </c>
      <c r="E111" s="36">
        <f t="shared" si="0"/>
      </c>
    </row>
    <row r="112">
      <c r="A112" s="38">
        <f t="shared" si="2"/>
      </c>
      <c r="B112" s="38" t="s">
        <v>546</v>
      </c>
      <c r="C112" s="34">
        <v>46264</v>
      </c>
      <c r="D112" s="38" t="s">
        <v>547</v>
      </c>
      <c r="E112" s="36">
        <f t="shared" si="0"/>
      </c>
      <c r="F112" s="38" t="s">
        <v>548</v>
      </c>
    </row>
    <row r="113">
      <c r="A113" s="38">
        <f t="shared" si="2"/>
      </c>
      <c r="B113" s="38" t="s">
        <v>549</v>
      </c>
      <c r="C113" s="34">
        <v>46264</v>
      </c>
      <c r="D113" t="s">
        <v>550</v>
      </c>
      <c r="E113" s="36">
        <f t="shared" si="0"/>
      </c>
      <c r="F113" t="s">
        <v>551</v>
      </c>
    </row>
    <row customHeight="true" ht="16.071428571428573" r="114">
      <c r="A114" s="38">
        <f t="shared" si="2"/>
      </c>
      <c r="B114" s="44" t="s">
        <v>531</v>
      </c>
      <c r="C114" s="34">
        <v>46264</v>
      </c>
      <c r="D114" t="s">
        <v>552</v>
      </c>
      <c r="E114" s="36">
        <f t="shared" si="0"/>
      </c>
    </row>
    <row customHeight="true" ht="16.071428571428573" r="115">
      <c r="A115" s="38">
        <f t="shared" si="2"/>
      </c>
      <c r="B115" s="44" t="s">
        <v>538</v>
      </c>
      <c r="C115" s="34">
        <v>46264</v>
      </c>
      <c r="D115" t="s">
        <v>553</v>
      </c>
      <c r="E115" s="36">
        <f t="shared" si="0"/>
      </c>
    </row>
    <row customHeight="true" ht="16.071428571428573" r="116">
      <c r="A116" s="38">
        <f t="shared" si="2"/>
      </c>
      <c r="B116" s="43" t="s">
        <v>410</v>
      </c>
      <c r="C116" s="34">
        <v>46264</v>
      </c>
      <c r="D116" t="s">
        <v>554</v>
      </c>
      <c r="E116" s="36">
        <f t="shared" si="0"/>
      </c>
    </row>
    <row customHeight="true" ht="16.071428571428573" r="117">
      <c r="A117" s="38">
        <f t="shared" si="2"/>
      </c>
      <c r="B117" s="42" t="s">
        <v>442</v>
      </c>
      <c r="C117" s="34">
        <v>46264</v>
      </c>
      <c r="D117" s="38" t="s">
        <v>555</v>
      </c>
      <c r="E117" s="36">
        <f t="shared" si="0"/>
      </c>
      <c r="F117" s="38" t="s">
        <v>556</v>
      </c>
    </row>
    <row customHeight="true" ht="16.071428571428573" r="118">
      <c r="A118" s="38">
        <f t="shared" si="2"/>
      </c>
      <c r="B118" s="42" t="s">
        <v>442</v>
      </c>
      <c r="C118" s="34">
        <v>46264</v>
      </c>
      <c r="D118" s="38" t="s">
        <v>557</v>
      </c>
      <c r="E118" s="36">
        <f t="shared" si="0"/>
      </c>
      <c r="F118" s="38" t="s">
        <v>556</v>
      </c>
    </row>
    <row customHeight="true" ht="16.071428571428573" r="119">
      <c r="A119" s="38">
        <f t="shared" si="2"/>
      </c>
      <c r="B119" s="42" t="s">
        <v>558</v>
      </c>
      <c r="C119" s="34">
        <v>46264</v>
      </c>
      <c r="D119" s="38" t="s">
        <v>559</v>
      </c>
      <c r="E119" s="36">
        <f t="shared" si="0"/>
      </c>
      <c r="F119" s="38"/>
    </row>
    <row customHeight="true" ht="16.071428571428573" r="120">
      <c r="A120" s="38">
        <f t="shared" si="2"/>
      </c>
      <c r="B120" s="42" t="s">
        <v>558</v>
      </c>
      <c r="C120" s="34">
        <v>46264</v>
      </c>
      <c r="D120" s="38" t="s">
        <v>560</v>
      </c>
      <c r="E120" s="36">
        <f t="shared" si="0"/>
      </c>
      <c r="F120" s="38"/>
    </row>
    <row customHeight="true" ht="16.071428571428573" r="121">
      <c r="A121" s="38">
        <f t="shared" si="2"/>
      </c>
      <c r="B121" s="42" t="s">
        <v>558</v>
      </c>
      <c r="C121" s="34">
        <v>46264</v>
      </c>
      <c r="D121" s="38" t="s">
        <v>561</v>
      </c>
      <c r="E121" s="36">
        <f t="shared" si="0"/>
      </c>
      <c r="F121" s="38"/>
    </row>
    <row customHeight="true" ht="16.071428571428573" r="122">
      <c r="A122" s="38">
        <f t="shared" si="2"/>
      </c>
      <c r="B122" s="42" t="s">
        <v>558</v>
      </c>
      <c r="C122" s="34">
        <v>46264</v>
      </c>
      <c r="D122" s="38" t="s">
        <v>562</v>
      </c>
      <c r="E122" s="36">
        <f t="shared" si="0"/>
      </c>
      <c r="F122" s="38"/>
    </row>
    <row customHeight="true" ht="16.071428571428573" r="123">
      <c r="A123" s="38">
        <f t="shared" si="2"/>
      </c>
      <c r="B123" s="42" t="s">
        <v>563</v>
      </c>
      <c r="C123" s="34">
        <v>46264</v>
      </c>
      <c r="D123" s="38" t="s">
        <v>564</v>
      </c>
      <c r="E123" s="36">
        <f t="shared" si="0"/>
      </c>
      <c r="F123" s="38"/>
    </row>
    <row customHeight="true" ht="16.071428571428573" r="124">
      <c r="A124" s="38">
        <f t="shared" si="2"/>
      </c>
      <c r="B124" s="42" t="s">
        <v>565</v>
      </c>
      <c r="C124" s="34">
        <v>46265</v>
      </c>
      <c r="D124" s="38" t="s">
        <v>566</v>
      </c>
      <c r="E124" s="36">
        <f t="shared" si="0"/>
      </c>
      <c r="F124" s="38"/>
    </row>
    <row customHeight="true" ht="16.071428571428573" r="125">
      <c r="A125" s="38">
        <f t="shared" si="2"/>
      </c>
      <c r="B125" s="42" t="s">
        <v>442</v>
      </c>
      <c r="C125" s="34">
        <v>46265</v>
      </c>
      <c r="D125" s="38" t="s">
        <v>567</v>
      </c>
      <c r="E125" s="36">
        <f t="shared" si="0"/>
      </c>
      <c r="F125" s="38" t="s">
        <v>556</v>
      </c>
    </row>
    <row customHeight="true" ht="16.071428571428573" r="126">
      <c r="A126" s="38">
        <f t="shared" si="2"/>
      </c>
      <c r="B126" s="44" t="s">
        <v>538</v>
      </c>
      <c r="C126" s="34">
        <v>46265</v>
      </c>
      <c r="D126" s="38" t="s">
        <v>568</v>
      </c>
      <c r="E126" s="36">
        <f t="shared" si="0"/>
      </c>
      <c r="F126" s="38"/>
    </row>
    <row customHeight="true" ht="16.071428571428573" r="127">
      <c r="A127" s="38">
        <f t="shared" si="2"/>
      </c>
      <c r="B127" s="44" t="s">
        <v>569</v>
      </c>
      <c r="C127" s="34">
        <v>46265</v>
      </c>
      <c r="D127" s="38" t="s">
        <v>570</v>
      </c>
      <c r="E127" s="36">
        <f t="shared" si="0"/>
      </c>
      <c r="F127" s="38"/>
    </row>
    <row customHeight="true" ht="16.071428571428573" r="128">
      <c r="A128" s="38">
        <f t="shared" si="2"/>
      </c>
      <c r="B128" s="44" t="s">
        <v>569</v>
      </c>
      <c r="C128" s="34">
        <v>46265</v>
      </c>
      <c r="D128" s="38" t="s">
        <v>571</v>
      </c>
      <c r="E128" s="36">
        <f t="shared" si="0"/>
      </c>
      <c r="F128" s="38"/>
    </row>
    <row customHeight="true" ht="16.071428571428573" r="129">
      <c r="A129" s="38">
        <f t="shared" si="2"/>
      </c>
      <c r="B129" s="42" t="s">
        <v>442</v>
      </c>
      <c r="C129" s="34">
        <v>46265</v>
      </c>
      <c r="D129" s="38" t="s">
        <v>572</v>
      </c>
      <c r="E129" s="36">
        <f t="shared" si="0"/>
      </c>
      <c r="F129" s="38" t="s">
        <v>556</v>
      </c>
    </row>
    <row customHeight="true" ht="16.071428571428573" r="130">
      <c r="A130" s="38">
        <f t="shared" si="2"/>
      </c>
      <c r="B130" s="44" t="s">
        <v>538</v>
      </c>
      <c r="C130" s="34">
        <v>46265</v>
      </c>
      <c r="D130" s="38" t="s">
        <v>573</v>
      </c>
      <c r="E130" s="36">
        <f t="shared" si="0"/>
      </c>
      <c r="F130" s="38"/>
    </row>
    <row customHeight="true" ht="16.071428571428573" r="131">
      <c r="A131" s="38">
        <f t="shared" si="2"/>
      </c>
      <c r="B131" s="43" t="s">
        <v>574</v>
      </c>
      <c r="C131" s="34">
        <v>46266</v>
      </c>
      <c r="D131" s="38" t="s">
        <v>575</v>
      </c>
      <c r="E131" s="36">
        <f t="shared" si="0"/>
      </c>
      <c r="F131" s="38"/>
    </row>
    <row customHeight="true" ht="16.071428571428573" r="132">
      <c r="A132" s="38">
        <f t="shared" si="2"/>
      </c>
      <c r="B132" s="44" t="s">
        <v>576</v>
      </c>
      <c r="C132" s="34">
        <v>46266</v>
      </c>
      <c r="D132" s="38" t="s">
        <v>577</v>
      </c>
      <c r="E132" s="36">
        <f t="shared" si="0"/>
      </c>
      <c r="F132" s="38"/>
    </row>
    <row customHeight="true" ht="16.071428571428573" r="133">
      <c r="A133" s="38">
        <f t="shared" si="2"/>
      </c>
      <c r="B133" s="44" t="s">
        <v>576</v>
      </c>
      <c r="C133" s="34">
        <v>46266</v>
      </c>
      <c r="D133" s="38" t="s">
        <v>578</v>
      </c>
      <c r="E133" s="36">
        <f t="shared" si="0"/>
      </c>
      <c r="F133" s="38"/>
    </row>
    <row customHeight="true" ht="16.071428571428573" r="134">
      <c r="A134" s="38">
        <f t="shared" si="2"/>
      </c>
      <c r="B134" s="42" t="s">
        <v>579</v>
      </c>
      <c r="C134" s="34">
        <v>46266</v>
      </c>
      <c r="D134" s="38" t="s">
        <v>580</v>
      </c>
      <c r="E134" s="36">
        <f t="shared" si="0"/>
      </c>
    </row>
    <row customHeight="true" ht="16.071428571428573" r="135">
      <c r="A135" s="38">
        <f t="shared" si="2"/>
      </c>
      <c r="B135" s="42" t="s">
        <v>438</v>
      </c>
      <c r="C135" s="34">
        <v>46266</v>
      </c>
      <c r="D135" t="s">
        <v>581</v>
      </c>
      <c r="E135" s="36">
        <f t="shared" si="0"/>
      </c>
    </row>
    <row r="136">
      <c r="A136" s="38">
        <f t="shared" si="2"/>
      </c>
      <c r="B136" s="38" t="s">
        <v>576</v>
      </c>
      <c r="C136" s="34">
        <v>46266</v>
      </c>
      <c r="D136" t="s">
        <v>582</v>
      </c>
      <c r="E136" s="36">
        <f t="shared" si="0"/>
      </c>
    </row>
    <row r="137">
      <c r="A137" s="38">
        <f t="shared" si="2"/>
      </c>
      <c r="B137" s="38" t="s">
        <v>408</v>
      </c>
      <c r="C137" s="34">
        <v>46266</v>
      </c>
      <c r="D137" t="s">
        <v>583</v>
      </c>
      <c r="E137" s="36">
        <f t="shared" si="0"/>
      </c>
    </row>
    <row r="138">
      <c r="A138" s="38">
        <f t="shared" si="2"/>
      </c>
      <c r="B138" s="44" t="s">
        <v>558</v>
      </c>
      <c r="C138" s="34">
        <v>46266</v>
      </c>
      <c r="D138" t="s">
        <v>584</v>
      </c>
      <c r="E138" s="36">
        <f t="shared" si="0"/>
      </c>
    </row>
    <row r="139">
      <c r="A139" s="38">
        <f t="shared" si="2"/>
      </c>
      <c r="B139" s="44" t="s">
        <v>558</v>
      </c>
      <c r="C139" s="34">
        <v>46266</v>
      </c>
      <c r="D139" t="s">
        <v>585</v>
      </c>
      <c r="E139" s="36">
        <f t="shared" si="0"/>
      </c>
    </row>
    <row r="140">
      <c r="A140" s="38">
        <f t="shared" si="2"/>
      </c>
      <c r="B140" s="44" t="s">
        <v>558</v>
      </c>
      <c r="C140" s="34">
        <v>46266</v>
      </c>
      <c r="D140" t="s">
        <v>586</v>
      </c>
      <c r="E140" s="36">
        <f t="shared" si="0"/>
      </c>
    </row>
    <row r="141">
      <c r="A141" s="38">
        <f t="shared" si="2"/>
      </c>
      <c r="B141" s="44" t="s">
        <v>558</v>
      </c>
      <c r="C141" s="34">
        <v>46266</v>
      </c>
      <c r="D141" t="s">
        <v>587</v>
      </c>
      <c r="E141" s="36">
        <f t="shared" si="0"/>
      </c>
    </row>
    <row r="142">
      <c r="A142" s="38">
        <f t="shared" si="2"/>
      </c>
      <c r="B142" s="43" t="s">
        <v>374</v>
      </c>
      <c r="C142" s="34">
        <v>46267</v>
      </c>
      <c r="D142" t="s">
        <v>588</v>
      </c>
      <c r="E142" s="36">
        <f t="shared" si="0"/>
      </c>
    </row>
    <row r="143">
      <c r="A143" s="38">
        <f t="shared" si="2"/>
      </c>
      <c r="B143" s="44" t="s">
        <v>558</v>
      </c>
      <c r="C143" s="34">
        <v>46267</v>
      </c>
      <c r="D143" t="s">
        <v>589</v>
      </c>
      <c r="E143" s="36">
        <f t="shared" si="0"/>
      </c>
    </row>
    <row r="144">
      <c r="A144" s="38">
        <f t="shared" si="2"/>
      </c>
      <c r="B144" s="44" t="s">
        <v>558</v>
      </c>
      <c r="C144" s="34">
        <v>46267</v>
      </c>
      <c r="D144" t="s">
        <v>590</v>
      </c>
      <c r="E144" s="36">
        <f t="shared" si="0"/>
      </c>
    </row>
    <row r="145">
      <c r="A145" s="38">
        <f t="shared" si="2"/>
      </c>
      <c r="B145" s="44" t="s">
        <v>538</v>
      </c>
      <c r="C145" s="34">
        <v>46267</v>
      </c>
      <c r="D145" t="s">
        <v>591</v>
      </c>
      <c r="E145" s="36">
        <f t="shared" si="0"/>
      </c>
    </row>
    <row r="146">
      <c r="A146" s="38">
        <f t="shared" si="2"/>
      </c>
      <c r="B146" s="43" t="s">
        <v>592</v>
      </c>
      <c r="C146" s="34">
        <v>46267</v>
      </c>
      <c r="D146" t="s">
        <v>593</v>
      </c>
      <c r="E146" s="36">
        <f t="shared" si="0"/>
      </c>
    </row>
    <row r="147">
      <c r="A147" s="38">
        <f t="shared" si="2"/>
      </c>
      <c r="B147" s="43" t="s">
        <v>442</v>
      </c>
      <c r="C147" s="34">
        <v>46267</v>
      </c>
      <c r="D147" t="s">
        <v>594</v>
      </c>
      <c r="E147" s="36">
        <f t="shared" si="0"/>
      </c>
      <c r="F147" s="38" t="s">
        <v>556</v>
      </c>
    </row>
    <row r="148">
      <c r="A148" s="38">
        <f t="shared" si="2"/>
      </c>
      <c r="B148" s="43" t="s">
        <v>440</v>
      </c>
      <c r="C148" s="34">
        <v>46267</v>
      </c>
      <c r="D148" t="s">
        <v>595</v>
      </c>
      <c r="E148" s="36">
        <f t="shared" si="0"/>
      </c>
    </row>
    <row r="149">
      <c r="A149" s="38">
        <f t="shared" si="2"/>
      </c>
      <c r="B149" s="43" t="s">
        <v>596</v>
      </c>
      <c r="C149" s="34">
        <v>46267</v>
      </c>
      <c r="D149" t="s">
        <v>597</v>
      </c>
      <c r="E149" s="36">
        <f t="shared" si="0"/>
      </c>
      <c r="F149" s="38" t="s">
        <v>556</v>
      </c>
    </row>
    <row r="150">
      <c r="A150" s="45">
        <f t="shared" si="2"/>
      </c>
      <c r="B150" s="38" t="s">
        <v>531</v>
      </c>
      <c r="C150" s="34">
        <v>46268</v>
      </c>
      <c r="D150" t="s">
        <v>598</v>
      </c>
      <c r="E150" s="36">
        <f t="shared" si="0"/>
      </c>
    </row>
    <row r="151">
      <c r="A151" s="45">
        <f t="shared" si="2"/>
      </c>
      <c r="B151" s="38" t="s">
        <v>599</v>
      </c>
      <c r="C151" s="34">
        <v>46268</v>
      </c>
      <c r="D151" t="s">
        <v>600</v>
      </c>
      <c r="E151" s="36">
        <f t="shared" si="0"/>
      </c>
    </row>
    <row r="152">
      <c r="A152" s="45">
        <f t="shared" si="2"/>
      </c>
      <c r="B152" s="46" t="s">
        <v>601</v>
      </c>
      <c r="C152" s="47">
        <v>46268</v>
      </c>
      <c r="D152" t="s">
        <v>602</v>
      </c>
      <c r="E152" s="36">
        <f t="shared" si="0"/>
      </c>
      <c r="F152" s="38" t="s">
        <v>556</v>
      </c>
    </row>
    <row r="153">
      <c r="A153" s="45">
        <f t="shared" si="2"/>
      </c>
      <c r="B153" s="46" t="s">
        <v>603</v>
      </c>
      <c r="C153" s="47">
        <v>46268</v>
      </c>
      <c r="D153" s="48" t="s">
        <v>604</v>
      </c>
      <c r="E153" s="48">
        <f t="shared" si="0"/>
      </c>
    </row>
    <row r="154">
      <c r="A154" s="45">
        <f t="shared" si="2"/>
      </c>
      <c r="B154" s="46" t="s">
        <v>605</v>
      </c>
      <c r="C154" s="47">
        <v>46268</v>
      </c>
      <c r="D154" s="48" t="s">
        <v>606</v>
      </c>
      <c r="E154" s="36">
        <f t="shared" si="0"/>
      </c>
    </row>
    <row r="155">
      <c r="A155" s="45">
        <f t="shared" si="2"/>
      </c>
      <c r="B155" s="46" t="s">
        <v>418</v>
      </c>
      <c r="C155" s="47">
        <v>46268</v>
      </c>
      <c r="D155" s="48" t="s">
        <v>607</v>
      </c>
      <c r="E155" s="36">
        <f t="shared" si="0"/>
      </c>
    </row>
    <row r="156">
      <c r="A156" s="45">
        <f t="shared" si="2"/>
      </c>
      <c r="B156" s="46" t="s">
        <v>442</v>
      </c>
      <c r="C156" s="47">
        <v>46268</v>
      </c>
      <c r="D156" s="48" t="s">
        <v>608</v>
      </c>
      <c r="E156" s="36">
        <f t="shared" si="0"/>
      </c>
      <c r="F156" s="38" t="s">
        <v>556</v>
      </c>
    </row>
    <row r="157">
      <c r="A157" s="45">
        <f t="shared" si="2"/>
      </c>
      <c r="B157" s="46" t="s">
        <v>452</v>
      </c>
      <c r="C157" s="47">
        <v>46268</v>
      </c>
      <c r="D157" s="49" t="s">
        <v>609</v>
      </c>
      <c r="E157" s="36">
        <f t="shared" si="0"/>
      </c>
    </row>
    <row r="158">
      <c r="A158" s="45">
        <f t="shared" si="2"/>
      </c>
      <c r="B158" s="46" t="s">
        <v>558</v>
      </c>
      <c r="C158" s="47">
        <v>46268</v>
      </c>
      <c r="D158" s="49" t="s">
        <v>610</v>
      </c>
      <c r="E158" s="36">
        <f t="shared" si="0"/>
      </c>
    </row>
    <row r="159">
      <c r="A159" s="45">
        <f t="shared" si="2"/>
      </c>
      <c r="B159" s="46" t="s">
        <v>558</v>
      </c>
      <c r="C159" s="47">
        <v>46268</v>
      </c>
      <c r="D159" s="49" t="s">
        <v>611</v>
      </c>
      <c r="E159" s="36">
        <f t="shared" si="0"/>
      </c>
    </row>
    <row r="160">
      <c r="A160" s="45">
        <f t="shared" si="2"/>
      </c>
      <c r="B160" s="46" t="s">
        <v>558</v>
      </c>
      <c r="C160" s="47">
        <v>46268</v>
      </c>
      <c r="D160" s="49" t="s">
        <v>612</v>
      </c>
      <c r="E160" s="36">
        <f t="shared" si="0"/>
      </c>
    </row>
    <row r="161">
      <c r="A161" s="45">
        <f t="shared" si="2"/>
      </c>
      <c r="B161" s="46" t="s">
        <v>558</v>
      </c>
      <c r="C161" s="47">
        <v>46268</v>
      </c>
      <c r="D161" s="49" t="s">
        <v>613</v>
      </c>
      <c r="E161" s="36">
        <f t="shared" si="0"/>
      </c>
    </row>
    <row r="162">
      <c r="A162" s="45">
        <f t="shared" si="2"/>
      </c>
      <c r="B162" s="46" t="s">
        <v>418</v>
      </c>
      <c r="C162" s="47">
        <v>46268</v>
      </c>
      <c r="D162" s="49" t="s">
        <v>614</v>
      </c>
      <c r="E162" s="36">
        <f t="shared" si="0"/>
      </c>
    </row>
    <row r="163">
      <c r="A163" s="45">
        <f t="shared" si="2"/>
      </c>
      <c r="B163" s="50" t="s">
        <v>615</v>
      </c>
      <c r="C163" s="47">
        <v>46269</v>
      </c>
      <c r="D163" s="49" t="s">
        <v>616</v>
      </c>
      <c r="E163" s="36">
        <f t="shared" si="0"/>
      </c>
    </row>
    <row r="164">
      <c r="A164" s="45">
        <f t="shared" si="2"/>
      </c>
      <c r="B164" s="50" t="s">
        <v>442</v>
      </c>
      <c r="C164" s="47">
        <v>46269</v>
      </c>
      <c r="D164" s="49" t="s">
        <v>617</v>
      </c>
      <c r="E164" s="36">
        <f t="shared" si="0"/>
      </c>
    </row>
    <row r="165">
      <c r="A165" s="45">
        <f t="shared" si="2"/>
      </c>
      <c r="B165" s="45" t="s">
        <v>618</v>
      </c>
      <c r="C165" s="47">
        <v>46270</v>
      </c>
      <c r="D165" s="49" t="s">
        <v>619</v>
      </c>
      <c r="E165" s="36">
        <f t="shared" si="0"/>
      </c>
      <c r="F165" s="45" t="s">
        <v>556</v>
      </c>
    </row>
    <row r="166">
      <c r="D166" s="48"/>
      <c r="E166" s="36">
        <f t="shared" si="0"/>
      </c>
    </row>
    <row r="167">
      <c r="D167" s="48"/>
      <c r="E167" s="36">
        <f t="shared" si="0"/>
      </c>
    </row>
    <row r="168">
      <c r="D168" s="48"/>
      <c r="E168" s="36">
        <f t="shared" si="0"/>
      </c>
    </row>
    <row r="169">
      <c r="D169" s="48"/>
      <c r="E169" s="36">
        <f t="shared" si="0"/>
      </c>
    </row>
    <row r="170">
      <c r="D170" s="48"/>
      <c r="E170" s="36">
        <f t="shared" si="0"/>
      </c>
    </row>
    <row r="171">
      <c r="D171" s="48"/>
      <c r="E171" s="36">
        <f t="shared" si="0"/>
      </c>
    </row>
    <row r="172">
      <c r="D172" s="48"/>
      <c r="E172" s="36">
        <f t="shared" si="0"/>
      </c>
    </row>
    <row r="173">
      <c r="D173" s="48"/>
      <c r="E173" s="36">
        <f t="shared" si="0"/>
      </c>
    </row>
    <row r="174">
      <c r="D174" s="48"/>
    </row>
    <row r="175">
      <c r="D175" s="48"/>
    </row>
    <row r="176">
      <c r="D176" s="48"/>
    </row>
    <row r="177">
      <c r="D177" s="48"/>
    </row>
    <row r="178">
      <c r="D178" s="48"/>
    </row>
    <row r="179">
      <c r="D179" s="48"/>
    </row>
  </sheetData>
  <hyperlinks>
    <hyperlink ref="D60" display="https://www.tiktok.com/@hien.daily9/video/7676780256522505479?shop_region=VN&amp;shop_id=7496242113276513249" r:id="rId1"/>
    <hyperlink ref="D98" display="https://www.tiktok.com/@lan.hng.nguyn07/video/7678944339799969044?shop_region=VN&amp;shop_id=7496242113276513249" r:id="rId2"/>
    <hyperlink ref="D129" display="tiktok.com/@thuthao799/video/7680126910759750933?shop_region=VN&amp;shop_id=7496242113276513249" r:id="rId3"/>
    <hyperlink ref="D159" display="https://www.tiktok.com/@giadungtienich.23/video/7681267975181159698?shop_id=7496242113276513249&amp;shop_region=VN" r:id="rId4"/>
    <hyperlink ref="D33" display="https://www.tiktok.com/@maicuccc/video/7677600918673607957?shop_id=7496242113276513249&amp;shop_region=VN" r:id="rId5"/>
    <hyperlink ref="D65" display="https://www.tiktok.com/@vihashop/video/7677232035299151125?shop_region=VN&amp;shop_id=7496242113276513249" r:id="rId6"/>
    <hyperlink ref="D95" display="https://www.tiktok.com/@yphuong.m52/video/7678892499833752853?shop_id=7496242113276513249&amp;shop_region=VN" r:id="rId7"/>
    <hyperlink ref="D130" display="https://www.tiktok.com/@colanreview/video/7680180551117982997?shop_region=VN&amp;shop_id=7496242113276513249" r:id="rId8"/>
    <hyperlink ref="D160" display="https://www.tiktok.com/@giadungtienich.23/video/7681268188570569992?shop_id=7496242113276513249&amp;shop_region=VN" r:id="rId9"/>
    <hyperlink ref="D34" display="https://www.tiktok.com/@me.be.gao.review.2405/video/7675239767017032978?shop_id=7496242113276513249&amp;shop_region=VN" r:id="rId10"/>
    <hyperlink ref="D66" display="https://www.tiktok.com/@ntnx.23104/video/7677603541627849991?_r=1&amp;_t=ZS-99AeSBKBse1" r:id="rId11"/>
    <hyperlink ref="D96" display="https://www.tiktok.com/@yphuong.m52/video/7678895832396991764?shop_id=7496242113276513249&amp;shop_region=VN" r:id="rId12"/>
    <hyperlink ref="D127" display="https://www.tiktok.com/@thanh.hng.shop4/video/7680119965436972306?shop_id=7496242113276513249&amp;shop_region=VN" r:id="rId13"/>
    <hyperlink ref="D149" display="https://www.tiktok.com/@munnn923/video/7680957371723648276?shop_region=VN&amp;shop_id=7496242113276513249" r:id="rId14"/>
    <hyperlink ref="D31" display="https://www.tiktok.com/@maicuccc/video/7676674655138221333?shop_id=7496242113276513249&amp;shop_region=VN" r:id="rId15"/>
    <hyperlink ref="D63" display="https://www.tiktok.com/@vangiadung19/video/7676885795801697556?shop_region=VN&amp;shop_id=7496242113276513249" r:id="rId16"/>
    <hyperlink ref="D85" display="https://www.tiktok.com/@thuthao799/video/7678174974422715668?shop_region=VN&amp;shop_id=7496242113276513249" r:id="rId17"/>
    <hyperlink ref="D128" display="https://www.tiktok.com/@thanh.hng.shop4/video/7680125318941789447?shop_id=7496242113276513249&amp;shop_region=VN" r:id="rId18"/>
    <hyperlink ref="D150" display="https://www.tiktok.com/@maymayreview3/video/7680973248250563847?shop_region=VN&amp;shop_id=7496242113276513249" r:id="rId19"/>
    <hyperlink ref="D32" display="https://www.tiktok.com/@maicuccc/video/7677177781754645781?shop_id=7496242113276513249&amp;shop_region=VN" r:id="rId20"/>
    <hyperlink ref="D64" display="https://www.tiktok.com/@vangiadung19/video/7676884796181630229?shop_region=VN&amp;shop_id=7496242113276513249" r:id="rId21"/>
    <hyperlink ref="D86" display="https://www.tiktok.com/@nguyentien270895/video/7678197473810124052?shop_region=VN&amp;shop_id=7496242113276513249" r:id="rId22"/>
    <hyperlink ref="D117" display="https://www.tiktok.com/@thuthao799/video/7679611625317371157?shop_region=VN&amp;shop_id=7496242113276513249" r:id="rId23"/>
    <hyperlink ref="D147" display="https://www.tiktok.com/@thuthao799/video/7680916340349226260?shop_region=VN&amp;shop_id=7496242113276513249" r:id="rId24"/>
    <hyperlink ref="D21" display="https://vt.tiktok.com/ZSVfxhvj7/" r:id="rId25"/>
    <hyperlink ref="D53" display="https://www.tiktok.com/@muoi28999/video/7676287949436128519?shop_region=VN&amp;shop_id=7496242113276513249" r:id="rId26"/>
    <hyperlink ref="D83" display="https://www.tiktok.com/@tinhtienty3944/video/7677921582693600532?shop_region=VN&amp;shop_id=7496242113276513249" r:id="rId27"/>
    <hyperlink ref="D118" display="https://www.tiktok.com/@thuthao799/video/7679640583660670229?shop_region=VN&amp;shop_id=7496242113276513249" r:id="rId28"/>
    <hyperlink ref="D148" display="https://www.tiktok.com/@0_t.l/video/7680947872971361557?shop_region=VN&amp;shop_id=7496242113276513249" r:id="rId29"/>
    <hyperlink ref="D22" display="https://www.tiktok.com/@sendobo/video/7674963692521344276?shop_id=7496242113276513249&amp;shop_region=VN" r:id="rId30"/>
    <hyperlink ref="D54" display="https://www.tiktok.com/@muoi28999/video/7676288899072806162?shop_id=7496242113276513249&amp;shop_region=VN" r:id="rId31"/>
    <hyperlink ref="D84" display="https://www.tiktok.com/@tinhtienty3944/video/7678142277134454036?shop_region=VN&amp;shop_id=7496242113276513249" r:id="rId32"/>
    <hyperlink ref="D115" display="https://www.tiktok.com/@colanreview/video/7679483370782346517?shop_region=VN&amp;shop_id=7496242113276513249" r:id="rId33"/>
    <hyperlink ref="D153" display="https://www.tiktok.com/@quynhmooon_1195/video/7681152817624550672?shop_region=VN&amp;shop_id=7496242113276513249" r:id="rId34"/>
    <hyperlink ref="D18" display="https://www.tiktok.com/@loanthichriviu93/video/7675650502222253333?_r=1&amp;_t=ZS-992M63UdVBc" r:id="rId35"/>
    <hyperlink ref="D20" display="https://www.tiktok.com/@loanthichriviu93/video/7675650502222253333?_r=1&amp;_t=ZS-992M63UdVBc" r:id="rId36"/>
    <hyperlink ref="D51" display="https://www.tiktok.com/@phanh.lee_2001/video/7675786838825028872?shop_region=VN&amp;shop_id=7496242113276513249" r:id="rId37"/>
    <hyperlink ref="D89" display="https://www.tiktok.com/@moon.nh2712/video/7678311671336537362?shop_region=VN&amp;shop_id=7496242113276513249" r:id="rId38"/>
    <hyperlink ref="D116" display="https://www.tiktok.com/@mebimreview77/video/7679501921090063637?shop_id=7496242113276513249&amp;shop_region=VN" r:id="rId39"/>
    <hyperlink ref="D154" display="https://www.tiktok.com/@hlinh_19/video/7681152787647827220?shop_region=VN&amp;shop_id=7496242113276513249" r:id="rId40"/>
    <hyperlink ref="D19" display="https://www.tiktok.com/@loanthichriviu93/video/7675619573680557332?_r=1&amp;_t=ZS-992M70DuJb3" r:id="rId41"/>
    <hyperlink ref="D52" display="https://www.tiktok.com/@phanh.lee_2001/video/7675788769207012616?shop_region=VN&amp;shop_id=7496242113276513249" r:id="rId42"/>
    <hyperlink ref="D90" display="https://www.tiktok.com/@minmacarong/video/7678335635882511624?shop_region=VN&amp;shop_id=7496242113276513249" r:id="rId43"/>
    <hyperlink ref="D121" display="https://www.tiktok.com/@giadungtienich.23/video/7679751311939603719?shop_id=7496242113276513249&amp;shop_region=VN" r:id="rId44"/>
    <hyperlink ref="D151" display="https://www.tiktok.com/@phucan_riviu/video/7681071847949077781?shop_region=VN&amp;shop_id=7496242113276513249" r:id="rId45"/>
    <hyperlink ref="D25" display="https://www.tiktok.com/@mebimreview77/video/7674630730298838293?_r=1&amp;_t=ZS-998ofvsPEXa" r:id="rId46"/>
    <hyperlink ref="D57" display="https://www.tiktok.com/@peachypick_/video/7676410034485726484?shop_region=VN&amp;shop_id=7496242113276513249" r:id="rId47"/>
    <hyperlink ref="D87" display="https://www.tiktok.com/@b.tin.y.n/video/7678204918347451668?shop_region=VN&amp;shop_id=7496242113276513249" r:id="rId48"/>
    <hyperlink ref="D122" display="https://www.tiktok.com/@giadungtienich.23/video/7679750988365876498?shop_id=7496242113276513249&amp;shop_region=VN" r:id="rId49"/>
    <hyperlink ref="D152" display="https://www.tiktok.com/@thingoc_1108/video/7681122704442903826?shop_region=VN&amp;shop_id=7496242113276513249" r:id="rId50"/>
    <hyperlink ref="D26" display="https://www.tiktok.com/@lucafamilyreview/video/7677423946945383701?_r=1&amp;_t=ZS-998gwTlnKEP" r:id="rId51"/>
    <hyperlink ref="D58" display="https://www.tiktok.com/@conlarioday.2412/video/7676531985229139220?shop_region=VN&amp;shop_id=7496242113276513249" r:id="rId52"/>
    <hyperlink ref="D88" display="https://www.tiktok.com/@lan.hng.nguyn07/video/7678294915855518997?shop_region=VN&amp;shop_id=7496242113276513249" r:id="rId53"/>
    <hyperlink ref="D119" display="https://www.tiktok.com/@giadungtienich.23/video/7679712276407946517?shop_region=VN&amp;shop_id=7496242113276513249" r:id="rId54"/>
    <hyperlink ref="D141" display="https://www.tiktok.com/@giadungtienich.23/video/7680599664776711442?shop_region=VN&amp;shop_id=7496242113276513249" r:id="rId55"/>
    <hyperlink ref="D23" display="https://sv.shopee.vn/share-video/aMJwY_XpCQBJuTBMAAAAAA==?c=share_web&amp;contentType=0&amp;fromShareLink=share-marker&amp;fromSource=copy_link&amp;jumpType=share&amp;myVideo=true&amp;pid=sv&amp;shareUserId=1278261577&amp;share_obj=video&amp;stm_medium=referral&amp;stm_source=rw&amp;uls_trackid=56fagu96003c" r:id="rId56"/>
    <hyperlink ref="D55" display="https://www.tiktok.com/@.comnganga1/video/7676302641634364692?shop_region=VN&amp;shop_id=7496242113276513249" r:id="rId57"/>
    <hyperlink ref="D77" display="https://www.tiktok.com/@tinhtienty3944/video/7677616319784684820?shop_region=VN&amp;shop_id=7496242113276513249" r:id="rId58"/>
    <hyperlink ref="D120" display="https://www.tiktok.com/@giadungtienich.23/video/7679751143177702674?shop_id=7496242113276513249&amp;shop_region=VN" r:id="rId59"/>
    <hyperlink ref="D142" display="https://www.tiktok.com/@1999linhha24/video/7680747833489919240?shop_id=7496242113276513249&amp;shop_region=VN" r:id="rId60"/>
    <hyperlink ref="D24" display="https://www.tiktok.com/@mebimreview77/video/7676520296794361109?_r=1&amp;_t=ZS-998oc03Xldy" r:id="rId61"/>
    <hyperlink ref="D56" display="https://www.tiktok.com/@1999linhha24/video/7676362894744767751?shop_region=VN&amp;shop_id=7496242113276513249" r:id="rId62"/>
    <hyperlink ref="D78" display="https://www.tiktok.com/@callmexuefang/video/7677790095843380487?shop_region=VN&amp;shop_id=7496242113276513249" r:id="rId63"/>
    <hyperlink ref="D109" display="https://www.tiktok.com/@yen68.68/video/7679488393243315474?shop_region=VN&amp;shop_id=7496242113276513249" r:id="rId64"/>
    <hyperlink ref="D139" display="https://www.tiktok.com/@giadungtienich.23/video/7680600542367714578?shop_id=7496242113276513249&amp;shop_region=VN" r:id="rId65"/>
    <hyperlink ref="D12" display="https://www.tiktok.com/@tho.review83/video/7676011525181689108?_r=1&amp;_t=ZS-992DMrkapHB" r:id="rId66"/>
    <hyperlink ref="D45" display="https://www.tiktok.com/@ngocanh5699_/video/7676072744563248391?shop_region=VN&amp;shop_id=7496242113276513249" r:id="rId67"/>
    <hyperlink ref="D75" display="https://www.tiktok.com/@tinhtienty3944/video/7677610871249472788?shop_region=VN&amp;shop_id=7496242113276513249" r:id="rId68"/>
    <hyperlink ref="D110" display="https://www.tiktok.com/@yen68.68/video/7679487581720972552?shop_region=VN&amp;shop_id=7496242113276513249" r:id="rId69"/>
    <hyperlink ref="D140" display="https://www.tiktok.com/@giadungtienich.23/video/7680600309613202695?shop_id=7496242113276513249&amp;shop_region=VN" r:id="rId70"/>
    <hyperlink ref="D13" display="https://www.tiktok.com/@vangiadung19/video/7675534874316442900?_r=1&amp;_t=ZS-992IlDKsVG9" r:id="rId71"/>
    <hyperlink ref="D46" display="https://www.tiktok.com/@maicuccc/video/7675896945856040212?shop_region=VN&amp;shop_id=7496242113276513249" r:id="rId72"/>
    <hyperlink ref="D76" display="https://www.tiktok.com/@thuthao799/video/7677551500289264916?shop_id=7496242113276513249&amp;shop_region=VN" r:id="rId73"/>
    <hyperlink ref="D107" display="https://www.tiktok.com/@colanreview/video/7679374358086700308?shop_region=VN&amp;shop_id=7496242113276513249" r:id="rId74"/>
    <hyperlink ref="D145" display="https://www.tiktok.com/@colanreview/video/7680835723792026901?shop_region=VN&amp;shop_id=7496242113276513249" r:id="rId75"/>
    <hyperlink ref="D10" display="https://vt.tiktok.com/ZSVDChVoW/" r:id="rId76"/>
    <hyperlink ref="D43" display="https://www.tiktok.com/@thuthao799/video/7675951281143303445?shop_region=VN&amp;shop_id=7496242113276513249" r:id="rId77"/>
    <hyperlink ref="D44" display="https://www.tiktok.com/@thuthao799/video/7675989548278631700?shop_region=VN&amp;shop_id=7496242113276513249" r:id="rId78"/>
    <hyperlink ref="D81" display="https://www.tiktok.com/@maicuccc/video/7677910995083480340?shop_id=7496242113276513249&amp;shop_region=VN" r:id="rId79"/>
    <hyperlink ref="D108" display="https://www.tiktok.com/@thuthao799/video/7679394429198798100?shop_region=VN&amp;shop_id=7496242113276513249" r:id="rId80"/>
    <hyperlink ref="D146" display="https://www.tiktok.com/@lanhlungvoitraidep/video/7680848750432095506?shop_region=VN&amp;shop_id=7496242113276513249" r:id="rId81"/>
    <hyperlink ref="D11" display="https://vt.tiktok.com/ZSVDCUDFt/" r:id="rId82"/>
    <hyperlink ref="D49" display="https://www.tiktok.com/@oanhoanh.30/video/7675741660684406037?shop_region=VN&amp;shop_id=7496242113276513249" r:id="rId83"/>
    <hyperlink ref="D82" display="https://www.tiktok.com/@maicuccc/video/7677897757209693460?shop_region=VN&amp;shop_id=7496242113276513249" r:id="rId84"/>
    <hyperlink ref="D113" display="https://www.tiktok.com/@honhuycosmetic/video/7677842750770842888?_r=1&amp;_t=ZS-99KjnxwRb1E" r:id="rId85"/>
    <hyperlink ref="D143" display="https://www.tiktok.com/@giadungtienich.23/video/7680755933760326930?shop_id=7496242113276513249&amp;shop_region=VN" r:id="rId86"/>
    <hyperlink ref="D16" display="https://www.tiktok.com/@chanhchanhriziu/video/7674831340855921927?_r=1&amp;_t=ZS-992LZ1dZajc" r:id="rId87"/>
    <hyperlink ref="D50" display="https://www.tiktok.com/@phanh.lee_2001/video/7675786335076060434?shop_id=7496242113276513249&amp;shop_region=VN" r:id="rId88"/>
    <hyperlink ref="D79" display="https://www.tiktok.com/@tho.review83/video/7677858038270676245?shop_region=VN&amp;shop_id=7496242113276513249" r:id="rId89"/>
    <hyperlink ref="D114" display="https://www.tiktok.com/@maymayreview3/video/7679485620061818130?shop_region=VN&amp;shop_id=7496242113276513249" r:id="rId90"/>
    <hyperlink ref="D144" display="https://www.tiktok.com/@giadungtienich.23/video/7680756122843827474?shop_region=VN&amp;shop_id=7496242113276513249" r:id="rId91"/>
    <hyperlink ref="D17" display="https://www.tiktok.com/@em.b.la.cung.thin/video/7675755018368093460?_r=1&amp;_t=ZS-9912XslcLtk" r:id="rId92"/>
    <hyperlink ref="D47" display="https://www.tiktok.com/@undefined/video/7675895973364682005?shop_region=VN&amp;shop_id=7496242113276513249" r:id="rId93"/>
    <hyperlink ref="D80" display="https://www.tiktok.com/@lan.hng.nguyn07/video/7677895702940290325?shop_id=7496242113276513249&amp;shop_region=VN" r:id="rId94"/>
    <hyperlink ref="D111" display="https://www.tiktok.com/@yen68.68/video/7679486487490022663?shop_region=VN&amp;shop_id=7496242113276513249" r:id="rId95"/>
    <hyperlink ref="D133" display="https://www.tiktok.com/@ngoc.tayninh/video/7680508198025006343?shop_id=7496242113276513249&amp;shop_region=VN" r:id="rId96"/>
    <hyperlink ref="D14" display="https://www.tiktok.com/@vangiadung19/video/7675527765571112213?_r=1&amp;_t=ZS-992IoqqJNfZ" r:id="rId97"/>
    <hyperlink ref="D48" display="https://www.tiktok.com/@maicuccc/video/7676111487441603860?shop_id=7496242113276513249&amp;shop_region=VN" r:id="rId98"/>
    <hyperlink ref="D69" display="https://www.tiktok.com/@nguyentien270895/video/7677398014033513748?shop_region=VN&amp;shop_id=7496242113276513249" r:id="rId99"/>
    <hyperlink ref="D101" display="https://www.tiktok.com/@.hip035/video/7679082892856691975?shop_region=VN&amp;shop_id=7496242113276513249" r:id="rId100"/>
    <hyperlink ref="D112" display="https://www.tiktok.com/@trucnha09/video/7679711296467569936?_r=1&amp;_t=ZS-99KuRhJZkKD" r:id="rId101"/>
    <hyperlink ref="D134" display="https://www.tiktok.com/@hlig.unbox03/video/7679511198471179527?shop_region=VN&amp;shop_id=7496242113276513249" r:id="rId102"/>
    <hyperlink ref="D165" display="https://www.tiktok.com/@kimanhrivew/video/7682053924336979221?shop_region=VN&amp;shop_id=7496242113276513249" r:id="rId103"/>
    <hyperlink ref="D15" display="https://www.tiktok.com/@vangiadung19/video/7675527715331558676?_r=1&amp;_t=ZS-992IpdHD5Qj" r:id="rId104"/>
    <hyperlink ref="D37" display="https://www.tiktok.com/@lethithulen/video/7675540386680474898?shop_region=VN&amp;shop_id=7496242113276513249" r:id="rId105"/>
    <hyperlink ref="D70" display="https://www.tiktok.com/@lienmatto/video/7677457927157878034?shop_region=VN&amp;shop_id=7496242113276513249" r:id="rId106"/>
    <hyperlink ref="D102" display="https://www.tiktok.com/@maymayreview3/video/7679118843901398279?shop_region=VN&amp;shop_id=7496242113276513249" r:id="rId107"/>
    <hyperlink ref="D131" display="https://www.tiktok.com/@.hip035/video/7680497342444752136?shop_region=VN&amp;shop_id=7496242113276513249" r:id="rId108"/>
    <hyperlink ref="D4" display="https://www.tiktok.com/@nguyentien270895/video/7672735349692534036?_r=1&amp;_t=ZS-98rjRtAFJTx" r:id="rId109"/>
    <hyperlink ref="D38" display="https://www.tiktok.com/@sendobo/video/7675644228608871701?shop_id=7496242113276513249&amp;shop_region=VN" r:id="rId110"/>
    <hyperlink ref="D67" display="https://www.tiktok.com/@_mekhanhhuyen1508_/video/7677825860245687572?_r=1&amp;_t=ZS-99AWoiYJhrB" r:id="rId111"/>
    <hyperlink ref="D99" display="https://www.tiktok.com/@maicuccc/video/7678973718957149461?shop_region=VN&amp;shop_id=7496242113276513249" r:id="rId112"/>
    <hyperlink ref="D132" display="https://www.tiktok.com/@ngoc.tayninh/video/7680509079298559240?shop_id=7496242113276513249&amp;shop_region=VN" r:id="rId113"/>
    <hyperlink ref="D163" display="https://www.tiktok.com/@mymotmy/video/7681583060814499079?shop_region=VN&amp;shop_id=7496242113276513249" r:id="rId114"/>
    <hyperlink ref="D5" display="https://vt.tiktok.com/ZSVdrcKte/" r:id="rId115"/>
    <hyperlink ref="D35" display="https://www.tiktok.com/@me.be.gao.review.2405/video/7675239949708414215?shop_region=VN&amp;shop_id=7496242113276513249" r:id="rId116"/>
    <hyperlink ref="D68" display="https://vt.tiktok.com/ZSVCFDtJv/" r:id="rId117"/>
    <hyperlink ref="D100" display="https://www.tiktok.com/@minie2124/video/7679052925162966290?shop_region=VN&amp;shop_id=7496242113276513249" r:id="rId118"/>
    <hyperlink ref="D137" display="https://www.tiktok.com/@baitap24h/video/7677488814402653461?shop_id=7496242113276513249&amp;shop_region=VN" r:id="rId119"/>
    <hyperlink ref="D164" display="https://www.tiktok.com/@thuthao799/video/7681638886354816277?shop_region=VN&amp;shop_id=7496242113276513249" r:id="rId120"/>
    <hyperlink ref="D2" display="https://www.tiktok.com/@meimi_spt01/video/7625981393398484245?is_from_webapp=1&amp;sender_device=pc" r:id="rId121"/>
    <hyperlink ref="D36" display="https://www.tiktok.com/@me.be.gao.review.2405/video/7675240155703266578?shop_id=7496242113276513249&amp;shop_region=VN" r:id="rId122"/>
    <hyperlink ref="D73" display="https://www.tiktok.com/@_minn_00/video/7677541737971141906?shop_region=VN&amp;shop_id=7496242113276513249" r:id="rId123"/>
    <hyperlink ref="D105" display="https://www.tiktok.com/@lyy.shop.99/video/7679324094499654913?_r=1&amp;_t=ZS-99KWFfztFTM" r:id="rId124"/>
    <hyperlink ref="D138" display="https://www.tiktok.com/@giadungtienich.23/video/7680602252955979016?shop_region=VN&amp;shop_id=7496242113276513249" r:id="rId125"/>
    <hyperlink ref="D3" display="https://www.tiktok.com/@me.em.dau.ne2407/video/7673530300915453204?_r=1&amp;_t=ZS-98qqs4XzPy1" r:id="rId126"/>
    <hyperlink ref="D41" display="https://www.tiktok.com/@thuthao799/video/7675899727749205268?shop_region=VN&amp;shop_id=7496242113276513249" r:id="rId127"/>
    <hyperlink ref="D74" display="https://www.tiktok.com/@tinhtienty3944/video/7677614859764354324?shop_region=VN&amp;shop_id=7496242113276513249" r:id="rId128"/>
    <hyperlink ref="D106" display="https://www.tiktok.com/@biiemm2909/video/7679341745095724308?shop_region=VN&amp;shop_id=7496242113276513249" r:id="rId129"/>
    <hyperlink ref="D135" display="https://www.tiktok.com/@biiemm2909/video/7680549331841092885?shop_region=VN&amp;shop_id=7496242113276513249" r:id="rId130"/>
    <hyperlink ref="D8" display="https://www.tiktok.com/@me.em.dau.ne2407/video/7674248969953856788?shop_id=7496242113276513249&amp;shop_region=VN" r:id="rId131"/>
    <hyperlink ref="D42" display="https://www.tiktok.com/@thuthao799/video/7675755689809022228?shop_region=VN&amp;shop_id=7496242113276513249" r:id="rId132"/>
    <hyperlink ref="D71" display="https://www.tiktok.com/@lienmatto/video/7677458207802920199?shop_id=7496242113276513249&amp;shop_region=VN" r:id="rId133"/>
    <hyperlink ref="D103" display="https://www.tiktok.com/@lyy.shop.99/video/7679309845245283601?_r=1&amp;_t=ZS-99KWG4x97Sr" r:id="rId134"/>
    <hyperlink ref="D136" display="https://www.tiktok.com/@ngoc.tayninh/video/7680511381254229266?shop_region=VN&amp;shop_id=7496242113276513249" r:id="rId135"/>
    <hyperlink ref="D9" display="https://www.tiktok.com/@minie2124/video/7674112867418901767?shop_id=7496242113276513249&amp;shop_region=VN" r:id="rId136"/>
    <hyperlink ref="D39" display="https://www.tiktok.com/@biiemm2909/video/7675648630547614996?shop_region=VN&amp;shop_id=7496242113276513249" r:id="rId137"/>
    <hyperlink ref="D72" display="https://www.tiktok.com/@.hip035/video/7677494137708498183?shop_region=VN&amp;shop_id=7496242113276513249" r:id="rId138"/>
    <hyperlink ref="D104" display="https://www.tiktok.com/@lyy.shop.99/video/7679312748857134337?_r=1&amp;_t=ZS-99KWCxMTDW4" r:id="rId139"/>
    <hyperlink ref="D157" display="https://www.tiktok.com/@oanhoanh.30/video/7681221286697241876?shop_id=7496242113276513249&amp;shop_region=VN" r:id="rId140"/>
    <hyperlink ref="D6" display="https://vt.tiktok.com/ZSVdrwFx8/" r:id="rId141"/>
    <hyperlink ref="D40" display="https://www.tiktok.com/@0_t.l/video/7675700175670643988?shop_region=VN&amp;shop_id=7496242113276513249" r:id="rId142"/>
    <hyperlink ref="D93" display="https://www.tiktok.com/@maicuccc/video/7678663427841068309?shop_region=VN&amp;shop_id=7496242113276513249" r:id="rId143"/>
    <hyperlink ref="D158" display="https://www.tiktok.com/@giadungtienich.23/video/7681267823116651784?shop_id=7496242113276513249&amp;shop_region=VN" r:id="rId144"/>
    <hyperlink ref="D7" display="https://www.tiktok.com/@nguyentien270895/video/7674109268060015893?shop_id=7496242113276513249&amp;shop_region=VN" r:id="rId145"/>
    <hyperlink ref="D94" display="https://vt.tiktok.com/ZSVc69FhY/" r:id="rId146"/>
    <hyperlink ref="D125" display="https://www.tiktok.com/@thuthao799/video/7679981168577629461?shop_region=VN&amp;shop_id=7496242113276513249" r:id="rId147"/>
    <hyperlink ref="D155" display="https://www.tiktok.com/@muoi28999/video/7681180240269298951?shop_id=7496242113276513249&amp;shop_region=VN" r:id="rId148"/>
    <hyperlink ref="D29" display="https://www.tiktok.com/@tieuziri.254/video/7677010981817535762?_r=1&amp;_t=ZS-996n8LKqsRm" r:id="rId149"/>
    <hyperlink ref="D61" display="https://www.tiktok.com/@hien.daily9/video/7676780290626440456?shop_region=VN&amp;shop_id=7496242113276513249" r:id="rId150"/>
    <hyperlink ref="D91" display="https://www.tiktok.com/@mebimreview77/video/7678398910607412500?shop_region=VN&amp;shop_id=7496242113276513249" r:id="rId151"/>
    <hyperlink ref="D126" display="https://www.tiktok.com/@colanreview/video/7679993543619890452?shop_region=VN&amp;shop_id=7496242113276513249" r:id="rId152"/>
    <hyperlink ref="D156" display="https://www.tiktok.com/@thuthao799/video/7681195609138679060?shop_id=7496242113276513249&amp;shop_region=VN" r:id="rId153"/>
    <hyperlink ref="D30" display="https://www.tiktok.com/@undefined/video/7676478542716177685?shop_region=VN&amp;shop_id=7496242113276513249" r:id="rId154"/>
    <hyperlink ref="D62" display="https://www.tiktok.com/@nhatombexiu/video/7676812726542273800?shop_region=VN&amp;shop_id=7496242113276513249" r:id="rId155"/>
    <hyperlink ref="D92" display="https://www.tiktok.com/@1999linhha24/video/7678631783222627602?shop_region=VN&amp;shop_id=7496242113276513249" r:id="rId156"/>
    <hyperlink ref="D123" display="https://www.tiktok.com/@landungthat9x/video/7679783583912824085?shop_id=7496242113276513249&amp;shop_region=VN" r:id="rId157"/>
    <hyperlink ref="D161" display="https://www.tiktok.com/@giadungtienich.23/video/7681268327800409351?shop_id=7496242113276513249&amp;shop_region=VN" r:id="rId158"/>
    <hyperlink ref="D27" display="https://www.tiktok.com/@muoi28999/video/7676287949436128519?_r=1&amp;_t=ZS-998dNJyidfz" r:id="rId159"/>
    <hyperlink ref="D59" display="https://www.tiktok.com/@thuy.miu65/video/7676773887874567444?shop_region=VN&amp;shop_id=7496242113276513249" r:id="rId160"/>
    <hyperlink ref="D97" display="https://www.tiktok.com/@b.tin.y.n/video/7678914242937965844?shop_region=VN&amp;shop_id=7496242113276513249" r:id="rId161"/>
    <hyperlink ref="D124" display="https://www.tiktok.com/@lemlemnee/video/7679882166267825429?shop_region=VN&amp;shop_id=7496242113276513249" r:id="rId162"/>
    <hyperlink ref="D162" display="https://www.tiktok.com/@muoi28999/video/7681288407565225223?shop_region=VN&amp;shop_id=7496242113276513249" r:id="rId163"/>
    <hyperlink ref="D28" display="https://www.tiktok.com/@hhhoa89/video/7676760795669089544?_r=1&amp;_t=ZS-995e6y0e8HA" r:id="rId164"/>
  </hyperlink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sheetData>
    <row r="1">
      <c r="A1" s="51"/>
      <c r="B1" s="51" t="s">
        <v>620</v>
      </c>
      <c r="C1" s="52">
        <v>46245</v>
      </c>
      <c r="D1" t="s">
        <v>621</v>
      </c>
      <c r="E1" s="53">
        <f t="shared" ref="E1:E10" si="0">HYPERLINK("https://www.tiktok.com/@"&amp;TRIM(D1))</f>
      </c>
      <c r="F1" s="54">
        <v>0</v>
      </c>
      <c r="G1" s="51" t="s">
        <v>622</v>
      </c>
      <c r="H1" s="55" t="s">
        <v>623</v>
      </c>
      <c r="I1" s="56" t="s">
        <v>624</v>
      </c>
      <c r="J1" s="52">
        <f t="shared" ref="J1:J10" si="1">IFERROR(C1+3,"")</f>
      </c>
      <c r="K1" s="57">
        <f t="shared" ref="K1:K10" si="2">IFERROR(L1-2,"")</f>
      </c>
      <c r="L1" s="52">
        <v>46254</v>
      </c>
      <c r="M1" s="58" t="s">
        <v>625</v>
      </c>
      <c r="P1" s="59">
        <v>972036971</v>
      </c>
    </row>
    <row r="2">
      <c r="A2" s="51"/>
      <c r="B2" s="51" t="s">
        <v>620</v>
      </c>
      <c r="C2" s="52">
        <v>46245</v>
      </c>
      <c r="D2" s="59" t="s">
        <v>626</v>
      </c>
      <c r="E2" s="53">
        <f t="shared" si="0"/>
      </c>
      <c r="F2" s="54">
        <v>0</v>
      </c>
      <c r="G2" s="51" t="s">
        <v>622</v>
      </c>
      <c r="H2" s="55" t="s">
        <v>623</v>
      </c>
      <c r="I2" s="56" t="s">
        <v>624</v>
      </c>
      <c r="J2" s="52">
        <f t="shared" si="1"/>
      </c>
      <c r="K2" s="57">
        <f t="shared" si="2"/>
      </c>
      <c r="L2" s="52">
        <v>46254</v>
      </c>
      <c r="M2" s="58" t="s">
        <v>625</v>
      </c>
      <c r="P2" s="59">
        <v>943827231</v>
      </c>
    </row>
    <row r="3">
      <c r="A3" s="51"/>
      <c r="B3" s="51" t="s">
        <v>620</v>
      </c>
      <c r="C3" s="52">
        <v>46245</v>
      </c>
      <c r="D3" s="59" t="s">
        <v>627</v>
      </c>
      <c r="E3" s="53">
        <f t="shared" si="0"/>
      </c>
      <c r="F3" s="54">
        <v>0</v>
      </c>
      <c r="G3" s="51" t="s">
        <v>622</v>
      </c>
      <c r="H3" s="55" t="s">
        <v>623</v>
      </c>
      <c r="I3" s="56" t="s">
        <v>624</v>
      </c>
      <c r="J3" s="52">
        <f t="shared" si="1"/>
      </c>
      <c r="K3" s="57">
        <f t="shared" si="2"/>
      </c>
      <c r="L3" s="52">
        <v>46254</v>
      </c>
      <c r="M3" s="58" t="s">
        <v>625</v>
      </c>
      <c r="P3" s="59">
        <v>392210878</v>
      </c>
    </row>
    <row r="4">
      <c r="A4" s="51"/>
      <c r="B4" s="51" t="s">
        <v>620</v>
      </c>
      <c r="C4" s="52">
        <v>46245</v>
      </c>
      <c r="D4" s="59" t="s">
        <v>628</v>
      </c>
      <c r="E4" s="53">
        <f t="shared" si="0"/>
      </c>
      <c r="F4" s="54">
        <v>0</v>
      </c>
      <c r="G4" s="51" t="s">
        <v>622</v>
      </c>
      <c r="H4" s="55" t="s">
        <v>623</v>
      </c>
      <c r="I4" s="56" t="s">
        <v>624</v>
      </c>
      <c r="J4" s="52">
        <f t="shared" si="1"/>
      </c>
      <c r="K4" s="57">
        <f t="shared" si="2"/>
      </c>
      <c r="L4" s="52">
        <v>46254</v>
      </c>
      <c r="M4" s="58" t="s">
        <v>625</v>
      </c>
      <c r="P4" s="59" t="s">
        <v>629</v>
      </c>
    </row>
    <row r="5">
      <c r="A5" s="51"/>
      <c r="B5" s="51" t="s">
        <v>620</v>
      </c>
      <c r="C5" s="52">
        <v>46245</v>
      </c>
      <c r="D5" t="s">
        <v>630</v>
      </c>
      <c r="E5" s="53">
        <f t="shared" si="0"/>
      </c>
      <c r="F5" s="54">
        <v>0</v>
      </c>
      <c r="G5" s="51" t="s">
        <v>622</v>
      </c>
      <c r="H5" s="55" t="s">
        <v>623</v>
      </c>
      <c r="I5" s="56" t="s">
        <v>624</v>
      </c>
      <c r="J5" s="52">
        <f t="shared" si="1"/>
      </c>
      <c r="K5" s="57">
        <f t="shared" si="2"/>
      </c>
      <c r="L5" s="52">
        <v>46254</v>
      </c>
      <c r="M5" s="58" t="s">
        <v>625</v>
      </c>
      <c r="P5" s="59" t="s">
        <v>631</v>
      </c>
    </row>
    <row r="6">
      <c r="A6" s="51"/>
      <c r="B6" s="51" t="s">
        <v>620</v>
      </c>
      <c r="C6" s="52">
        <v>46245</v>
      </c>
      <c r="D6" s="59" t="s">
        <v>632</v>
      </c>
      <c r="E6" s="53">
        <f t="shared" si="0"/>
      </c>
      <c r="F6" s="54">
        <v>0</v>
      </c>
      <c r="G6" s="51" t="s">
        <v>622</v>
      </c>
      <c r="H6" s="55" t="s">
        <v>623</v>
      </c>
      <c r="I6" s="56" t="s">
        <v>624</v>
      </c>
      <c r="J6" s="52">
        <f t="shared" si="1"/>
      </c>
      <c r="K6" s="57">
        <f t="shared" si="2"/>
      </c>
      <c r="L6" s="52">
        <v>46254</v>
      </c>
      <c r="M6" s="58" t="s">
        <v>625</v>
      </c>
      <c r="P6" s="59">
        <v>902697925</v>
      </c>
    </row>
    <row r="7">
      <c r="A7" s="51"/>
      <c r="B7" s="51" t="s">
        <v>620</v>
      </c>
      <c r="C7" s="52">
        <v>46245</v>
      </c>
      <c r="D7" s="59" t="s">
        <v>633</v>
      </c>
      <c r="E7" s="53">
        <f t="shared" si="0"/>
      </c>
      <c r="F7" s="54">
        <v>0</v>
      </c>
      <c r="G7" s="51" t="s">
        <v>622</v>
      </c>
      <c r="H7" s="55" t="s">
        <v>623</v>
      </c>
      <c r="I7" s="56" t="s">
        <v>624</v>
      </c>
      <c r="J7" s="52">
        <f t="shared" si="1"/>
      </c>
      <c r="K7" s="57">
        <f t="shared" si="2"/>
      </c>
      <c r="L7" s="52">
        <v>46254</v>
      </c>
      <c r="M7" s="58" t="s">
        <v>625</v>
      </c>
      <c r="P7" s="59" t="s">
        <v>634</v>
      </c>
    </row>
    <row r="8">
      <c r="A8" s="51"/>
      <c r="B8" s="51" t="s">
        <v>620</v>
      </c>
      <c r="C8" s="52">
        <v>46245</v>
      </c>
      <c r="D8" s="59" t="s">
        <v>635</v>
      </c>
      <c r="E8" s="53">
        <f t="shared" si="0"/>
      </c>
      <c r="F8" s="54">
        <v>0</v>
      </c>
      <c r="G8" s="51" t="s">
        <v>622</v>
      </c>
      <c r="H8" s="55" t="s">
        <v>623</v>
      </c>
      <c r="I8" s="56" t="s">
        <v>624</v>
      </c>
      <c r="J8" s="52">
        <f t="shared" si="1"/>
      </c>
      <c r="K8" s="57">
        <f t="shared" si="2"/>
      </c>
      <c r="L8" s="52">
        <v>46254</v>
      </c>
      <c r="M8" s="58" t="s">
        <v>625</v>
      </c>
      <c r="P8" s="59">
        <v>794111967</v>
      </c>
    </row>
    <row r="9">
      <c r="A9" s="51"/>
      <c r="B9" s="51" t="s">
        <v>620</v>
      </c>
      <c r="C9" s="52">
        <v>46245</v>
      </c>
      <c r="D9" s="59" t="s">
        <v>636</v>
      </c>
      <c r="E9" s="53">
        <f t="shared" si="0"/>
      </c>
      <c r="F9" s="54">
        <v>0</v>
      </c>
      <c r="G9" s="51" t="s">
        <v>622</v>
      </c>
      <c r="H9" s="55" t="s">
        <v>623</v>
      </c>
      <c r="I9" s="56" t="s">
        <v>624</v>
      </c>
      <c r="J9" s="52">
        <f t="shared" si="1"/>
      </c>
      <c r="K9" s="57">
        <f t="shared" si="2"/>
      </c>
      <c r="L9" s="52">
        <v>46254</v>
      </c>
      <c r="M9" s="58" t="s">
        <v>625</v>
      </c>
      <c r="P9" s="59">
        <v>977177059</v>
      </c>
    </row>
    <row r="10">
      <c r="A10" s="51"/>
      <c r="B10" s="51" t="s">
        <v>620</v>
      </c>
      <c r="C10" s="52">
        <v>46253</v>
      </c>
      <c r="D10" s="60" t="s">
        <v>637</v>
      </c>
      <c r="E10" s="53">
        <f t="shared" si="0"/>
      </c>
      <c r="F10" s="58"/>
      <c r="G10" s="51" t="s">
        <v>622</v>
      </c>
      <c r="H10" s="55" t="s">
        <v>623</v>
      </c>
      <c r="I10" s="56" t="s">
        <v>624</v>
      </c>
      <c r="J10" s="52">
        <f t="shared" si="1"/>
      </c>
      <c r="K10" s="57">
        <f t="shared" si="2"/>
      </c>
      <c r="L10" s="52">
        <v>46264</v>
      </c>
      <c r="M10" s="58" t="s">
        <v>638</v>
      </c>
      <c r="P10" s="59" t="s">
        <v>639</v>
      </c>
    </row>
  </sheetData>
  <dataValidations count="2">
    <dataValidation allowBlank="true" errorStyle="stop" showErrorMessage="true" sqref="H1:H10" type="list">
      <formula1>"Livestream,Video"</formula1>
    </dataValidation>
    <dataValidation allowBlank="true" errorStyle="stop" showErrorMessage="true" sqref="M1:M10" type="list">
      <formula1>" Đã Duyệt mẫu,Đã gửi Brief,Đã gửi hàng,Đã nhận hàng,Đã lên video"</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